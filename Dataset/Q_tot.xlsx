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cGy\Downloads\Treasure\Dati italia\Dataset\"/>
    </mc:Choice>
  </mc:AlternateContent>
  <xr:revisionPtr revIDLastSave="0" documentId="13_ncr:1_{3E62E071-8D27-4030-8BFB-9FF904969065}" xr6:coauthVersionLast="47" xr6:coauthVersionMax="47" xr10:uidLastSave="{00000000-0000-0000-0000-000000000000}"/>
  <bookViews>
    <workbookView xWindow="-3300" yWindow="-20880" windowWidth="28800" windowHeight="15510" xr2:uid="{00000000-000D-0000-FFFF-FFFF00000000}"/>
  </bookViews>
  <sheets>
    <sheet name="Foglio1" sheetId="1" r:id="rId1"/>
  </sheets>
  <definedNames>
    <definedName name="_xlnm._FilterDatabase" localSheetId="0" hidden="1">Foglio1!$G$1:$G$146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G25" i="1" s="1"/>
  <c r="M25" i="1" s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3" i="1"/>
  <c r="P25" i="1" l="1"/>
  <c r="Q25" i="1"/>
  <c r="G134" i="1"/>
  <c r="M134" i="1" s="1"/>
  <c r="G118" i="1"/>
  <c r="M118" i="1" s="1"/>
  <c r="G86" i="1"/>
  <c r="M86" i="1" s="1"/>
  <c r="G54" i="1"/>
  <c r="M54" i="1" s="1"/>
  <c r="G30" i="1"/>
  <c r="M30" i="1" s="1"/>
  <c r="G6" i="1"/>
  <c r="M6" i="1" s="1"/>
  <c r="G109" i="1"/>
  <c r="M109" i="1" s="1"/>
  <c r="G69" i="1"/>
  <c r="M69" i="1" s="1"/>
  <c r="G45" i="1"/>
  <c r="M45" i="1" s="1"/>
  <c r="G13" i="1"/>
  <c r="M13" i="1" s="1"/>
  <c r="G116" i="1"/>
  <c r="M116" i="1" s="1"/>
  <c r="G100" i="1"/>
  <c r="M100" i="1" s="1"/>
  <c r="G76" i="1"/>
  <c r="M76" i="1" s="1"/>
  <c r="G52" i="1"/>
  <c r="M52" i="1" s="1"/>
  <c r="G28" i="1"/>
  <c r="M28" i="1" s="1"/>
  <c r="G12" i="1"/>
  <c r="M12" i="1" s="1"/>
  <c r="G131" i="1"/>
  <c r="M131" i="1" s="1"/>
  <c r="G123" i="1"/>
  <c r="M123" i="1" s="1"/>
  <c r="G115" i="1"/>
  <c r="M115" i="1" s="1"/>
  <c r="G107" i="1"/>
  <c r="M107" i="1" s="1"/>
  <c r="G99" i="1"/>
  <c r="M99" i="1" s="1"/>
  <c r="G91" i="1"/>
  <c r="M91" i="1" s="1"/>
  <c r="G83" i="1"/>
  <c r="M83" i="1" s="1"/>
  <c r="G75" i="1"/>
  <c r="M75" i="1" s="1"/>
  <c r="G67" i="1"/>
  <c r="M67" i="1" s="1"/>
  <c r="G59" i="1"/>
  <c r="M59" i="1" s="1"/>
  <c r="G51" i="1"/>
  <c r="M51" i="1" s="1"/>
  <c r="G43" i="1"/>
  <c r="M43" i="1" s="1"/>
  <c r="G35" i="1"/>
  <c r="M35" i="1" s="1"/>
  <c r="G27" i="1"/>
  <c r="M27" i="1" s="1"/>
  <c r="G19" i="1"/>
  <c r="M19" i="1" s="1"/>
  <c r="G11" i="1"/>
  <c r="M11" i="1" s="1"/>
  <c r="G130" i="1"/>
  <c r="M130" i="1" s="1"/>
  <c r="G122" i="1"/>
  <c r="M122" i="1" s="1"/>
  <c r="G114" i="1"/>
  <c r="M114" i="1" s="1"/>
  <c r="G106" i="1"/>
  <c r="M106" i="1" s="1"/>
  <c r="G98" i="1"/>
  <c r="M98" i="1" s="1"/>
  <c r="G90" i="1"/>
  <c r="M90" i="1" s="1"/>
  <c r="G82" i="1"/>
  <c r="M82" i="1" s="1"/>
  <c r="G74" i="1"/>
  <c r="M74" i="1" s="1"/>
  <c r="G66" i="1"/>
  <c r="M66" i="1" s="1"/>
  <c r="G58" i="1"/>
  <c r="M58" i="1" s="1"/>
  <c r="G50" i="1"/>
  <c r="M50" i="1" s="1"/>
  <c r="G42" i="1"/>
  <c r="M42" i="1" s="1"/>
  <c r="G34" i="1"/>
  <c r="M34" i="1" s="1"/>
  <c r="G26" i="1"/>
  <c r="M26" i="1" s="1"/>
  <c r="G18" i="1"/>
  <c r="M18" i="1" s="1"/>
  <c r="G10" i="1"/>
  <c r="M10" i="1" s="1"/>
  <c r="G126" i="1"/>
  <c r="M126" i="1" s="1"/>
  <c r="G102" i="1"/>
  <c r="M102" i="1" s="1"/>
  <c r="G78" i="1"/>
  <c r="M78" i="1" s="1"/>
  <c r="G62" i="1"/>
  <c r="M62" i="1" s="1"/>
  <c r="G38" i="1"/>
  <c r="M38" i="1" s="1"/>
  <c r="G14" i="1"/>
  <c r="M14" i="1" s="1"/>
  <c r="G125" i="1"/>
  <c r="M125" i="1" s="1"/>
  <c r="G101" i="1"/>
  <c r="M101" i="1" s="1"/>
  <c r="G85" i="1"/>
  <c r="M85" i="1" s="1"/>
  <c r="G61" i="1"/>
  <c r="M61" i="1" s="1"/>
  <c r="G29" i="1"/>
  <c r="M29" i="1" s="1"/>
  <c r="G5" i="1"/>
  <c r="M5" i="1" s="1"/>
  <c r="G124" i="1"/>
  <c r="M124" i="1" s="1"/>
  <c r="G108" i="1"/>
  <c r="M108" i="1" s="1"/>
  <c r="G84" i="1"/>
  <c r="M84" i="1" s="1"/>
  <c r="G60" i="1"/>
  <c r="M60" i="1" s="1"/>
  <c r="G36" i="1"/>
  <c r="M36" i="1" s="1"/>
  <c r="G4" i="1"/>
  <c r="M4" i="1" s="1"/>
  <c r="G121" i="1"/>
  <c r="M121" i="1" s="1"/>
  <c r="G105" i="1"/>
  <c r="M105" i="1" s="1"/>
  <c r="G97" i="1"/>
  <c r="M97" i="1" s="1"/>
  <c r="G81" i="1"/>
  <c r="M81" i="1" s="1"/>
  <c r="G73" i="1"/>
  <c r="M73" i="1" s="1"/>
  <c r="G57" i="1"/>
  <c r="M57" i="1" s="1"/>
  <c r="G41" i="1"/>
  <c r="M41" i="1" s="1"/>
  <c r="G17" i="1"/>
  <c r="M17" i="1" s="1"/>
  <c r="G120" i="1"/>
  <c r="M120" i="1" s="1"/>
  <c r="G104" i="1"/>
  <c r="M104" i="1" s="1"/>
  <c r="G96" i="1"/>
  <c r="M96" i="1" s="1"/>
  <c r="G88" i="1"/>
  <c r="M88" i="1" s="1"/>
  <c r="G72" i="1"/>
  <c r="M72" i="1" s="1"/>
  <c r="G64" i="1"/>
  <c r="M64" i="1" s="1"/>
  <c r="G56" i="1"/>
  <c r="M56" i="1" s="1"/>
  <c r="G48" i="1"/>
  <c r="M48" i="1" s="1"/>
  <c r="G40" i="1"/>
  <c r="M40" i="1" s="1"/>
  <c r="G32" i="1"/>
  <c r="M32" i="1" s="1"/>
  <c r="G24" i="1"/>
  <c r="M24" i="1" s="1"/>
  <c r="G16" i="1"/>
  <c r="M16" i="1" s="1"/>
  <c r="G8" i="1"/>
  <c r="M8" i="1" s="1"/>
  <c r="G110" i="1"/>
  <c r="M110" i="1" s="1"/>
  <c r="G94" i="1"/>
  <c r="M94" i="1" s="1"/>
  <c r="G70" i="1"/>
  <c r="M70" i="1" s="1"/>
  <c r="G46" i="1"/>
  <c r="M46" i="1" s="1"/>
  <c r="G22" i="1"/>
  <c r="M22" i="1" s="1"/>
  <c r="G133" i="1"/>
  <c r="M133" i="1" s="1"/>
  <c r="G117" i="1"/>
  <c r="M117" i="1" s="1"/>
  <c r="G93" i="1"/>
  <c r="M93" i="1" s="1"/>
  <c r="G77" i="1"/>
  <c r="M77" i="1" s="1"/>
  <c r="G53" i="1"/>
  <c r="M53" i="1" s="1"/>
  <c r="G37" i="1"/>
  <c r="M37" i="1" s="1"/>
  <c r="G21" i="1"/>
  <c r="M21" i="1" s="1"/>
  <c r="G132" i="1"/>
  <c r="M132" i="1" s="1"/>
  <c r="G92" i="1"/>
  <c r="M92" i="1" s="1"/>
  <c r="G68" i="1"/>
  <c r="M68" i="1" s="1"/>
  <c r="G44" i="1"/>
  <c r="M44" i="1" s="1"/>
  <c r="G20" i="1"/>
  <c r="M20" i="1" s="1"/>
  <c r="G129" i="1"/>
  <c r="M129" i="1" s="1"/>
  <c r="G113" i="1"/>
  <c r="M113" i="1" s="1"/>
  <c r="G89" i="1"/>
  <c r="M89" i="1" s="1"/>
  <c r="G65" i="1"/>
  <c r="M65" i="1" s="1"/>
  <c r="G49" i="1"/>
  <c r="M49" i="1" s="1"/>
  <c r="G33" i="1"/>
  <c r="M33" i="1" s="1"/>
  <c r="G9" i="1"/>
  <c r="M9" i="1" s="1"/>
  <c r="G128" i="1"/>
  <c r="M128" i="1" s="1"/>
  <c r="G112" i="1"/>
  <c r="M112" i="1" s="1"/>
  <c r="G80" i="1"/>
  <c r="M80" i="1" s="1"/>
  <c r="G3" i="1"/>
  <c r="M3" i="1" s="1"/>
  <c r="G127" i="1"/>
  <c r="M127" i="1" s="1"/>
  <c r="G119" i="1"/>
  <c r="M119" i="1" s="1"/>
  <c r="G111" i="1"/>
  <c r="M111" i="1" s="1"/>
  <c r="G103" i="1"/>
  <c r="M103" i="1" s="1"/>
  <c r="G95" i="1"/>
  <c r="M95" i="1" s="1"/>
  <c r="G87" i="1"/>
  <c r="M87" i="1" s="1"/>
  <c r="G79" i="1"/>
  <c r="M79" i="1" s="1"/>
  <c r="G71" i="1"/>
  <c r="M71" i="1" s="1"/>
  <c r="G63" i="1"/>
  <c r="M63" i="1" s="1"/>
  <c r="G55" i="1"/>
  <c r="M55" i="1" s="1"/>
  <c r="G47" i="1"/>
  <c r="M47" i="1" s="1"/>
  <c r="G39" i="1"/>
  <c r="M39" i="1" s="1"/>
  <c r="G31" i="1"/>
  <c r="M31" i="1" s="1"/>
  <c r="G23" i="1"/>
  <c r="M23" i="1" s="1"/>
  <c r="G15" i="1"/>
  <c r="M15" i="1" s="1"/>
  <c r="G7" i="1"/>
  <c r="M7" i="1" s="1"/>
  <c r="P39" i="1" l="1"/>
  <c r="Q39" i="1"/>
  <c r="Q44" i="1"/>
  <c r="P44" i="1"/>
  <c r="P72" i="1"/>
  <c r="Q72" i="1"/>
  <c r="P18" i="1"/>
  <c r="Q18" i="1"/>
  <c r="R18" i="1" s="1"/>
  <c r="P82" i="1"/>
  <c r="Q82" i="1"/>
  <c r="R82" i="1" s="1"/>
  <c r="P47" i="1"/>
  <c r="Q47" i="1"/>
  <c r="R47" i="1" s="1"/>
  <c r="P16" i="1"/>
  <c r="Q16" i="1"/>
  <c r="P26" i="1"/>
  <c r="Q26" i="1"/>
  <c r="R26" i="1" s="1"/>
  <c r="Q52" i="1"/>
  <c r="P52" i="1"/>
  <c r="P55" i="1"/>
  <c r="Q55" i="1"/>
  <c r="P24" i="1"/>
  <c r="Q24" i="1"/>
  <c r="Q38" i="1"/>
  <c r="P38" i="1"/>
  <c r="P98" i="1"/>
  <c r="Q98" i="1"/>
  <c r="P99" i="1"/>
  <c r="Q99" i="1"/>
  <c r="R99" i="1" s="1"/>
  <c r="P65" i="1"/>
  <c r="Q65" i="1"/>
  <c r="Q22" i="1"/>
  <c r="P22" i="1"/>
  <c r="P32" i="1"/>
  <c r="Q32" i="1"/>
  <c r="P104" i="1"/>
  <c r="Q104" i="1"/>
  <c r="R104" i="1" s="1"/>
  <c r="P105" i="1"/>
  <c r="Q105" i="1"/>
  <c r="Q5" i="1"/>
  <c r="P5" i="1"/>
  <c r="Q62" i="1"/>
  <c r="P62" i="1"/>
  <c r="P42" i="1"/>
  <c r="Q42" i="1"/>
  <c r="P106" i="1"/>
  <c r="Q106" i="1"/>
  <c r="P43" i="1"/>
  <c r="Q43" i="1"/>
  <c r="R43" i="1" s="1"/>
  <c r="P107" i="1"/>
  <c r="Q107" i="1"/>
  <c r="Q100" i="1"/>
  <c r="P100" i="1"/>
  <c r="Q54" i="1"/>
  <c r="P54" i="1"/>
  <c r="P103" i="1"/>
  <c r="Q103" i="1"/>
  <c r="P73" i="1"/>
  <c r="Q73" i="1"/>
  <c r="P19" i="1"/>
  <c r="Q19" i="1"/>
  <c r="R19" i="1" s="1"/>
  <c r="Q68" i="1"/>
  <c r="P68" i="1"/>
  <c r="Q108" i="1"/>
  <c r="P108" i="1"/>
  <c r="P90" i="1"/>
  <c r="Q90" i="1"/>
  <c r="Q133" i="1"/>
  <c r="P133" i="1"/>
  <c r="Q124" i="1"/>
  <c r="P124" i="1"/>
  <c r="Q30" i="1"/>
  <c r="P30" i="1"/>
  <c r="P7" i="1"/>
  <c r="Q7" i="1"/>
  <c r="P89" i="1"/>
  <c r="Q89" i="1"/>
  <c r="R89" i="1" s="1"/>
  <c r="P40" i="1"/>
  <c r="Q40" i="1"/>
  <c r="Q29" i="1"/>
  <c r="P29" i="1"/>
  <c r="Q78" i="1"/>
  <c r="P78" i="1"/>
  <c r="P114" i="1"/>
  <c r="Q114" i="1"/>
  <c r="R114" i="1" s="1"/>
  <c r="P51" i="1"/>
  <c r="Q51" i="1"/>
  <c r="P115" i="1"/>
  <c r="Q115" i="1"/>
  <c r="R115" i="1" s="1"/>
  <c r="Q116" i="1"/>
  <c r="P116" i="1"/>
  <c r="Q86" i="1"/>
  <c r="P86" i="1"/>
  <c r="P8" i="1"/>
  <c r="Q8" i="1"/>
  <c r="Q109" i="1"/>
  <c r="P109" i="1"/>
  <c r="P33" i="1"/>
  <c r="Q33" i="1"/>
  <c r="P88" i="1"/>
  <c r="Q88" i="1"/>
  <c r="R88" i="1" s="1"/>
  <c r="P91" i="1"/>
  <c r="Q91" i="1"/>
  <c r="P119" i="1"/>
  <c r="Q119" i="1"/>
  <c r="R119" i="1" s="1"/>
  <c r="P96" i="1"/>
  <c r="Q96" i="1"/>
  <c r="P34" i="1"/>
  <c r="Q34" i="1"/>
  <c r="R34" i="1" s="1"/>
  <c r="Q76" i="1"/>
  <c r="P76" i="1"/>
  <c r="P127" i="1"/>
  <c r="Q127" i="1"/>
  <c r="R127" i="1" s="1"/>
  <c r="P3" i="1"/>
  <c r="Q3" i="1"/>
  <c r="P120" i="1"/>
  <c r="Q120" i="1"/>
  <c r="P50" i="1"/>
  <c r="Q50" i="1"/>
  <c r="P15" i="1"/>
  <c r="Q15" i="1"/>
  <c r="R15" i="1" s="1"/>
  <c r="P79" i="1"/>
  <c r="Q79" i="1"/>
  <c r="P80" i="1"/>
  <c r="Q80" i="1"/>
  <c r="R80" i="1" s="1"/>
  <c r="P113" i="1"/>
  <c r="Q113" i="1"/>
  <c r="Q37" i="1"/>
  <c r="P37" i="1"/>
  <c r="Q70" i="1"/>
  <c r="P70" i="1"/>
  <c r="P48" i="1"/>
  <c r="Q48" i="1"/>
  <c r="R48" i="1" s="1"/>
  <c r="P17" i="1"/>
  <c r="Q17" i="1"/>
  <c r="Q4" i="1"/>
  <c r="P4" i="1"/>
  <c r="Q61" i="1"/>
  <c r="P61" i="1"/>
  <c r="Q102" i="1"/>
  <c r="P102" i="1"/>
  <c r="P58" i="1"/>
  <c r="Q58" i="1"/>
  <c r="P122" i="1"/>
  <c r="Q122" i="1"/>
  <c r="R122" i="1" s="1"/>
  <c r="P59" i="1"/>
  <c r="Q59" i="1"/>
  <c r="P123" i="1"/>
  <c r="Q123" i="1"/>
  <c r="Q13" i="1"/>
  <c r="P13" i="1"/>
  <c r="Q118" i="1"/>
  <c r="P118" i="1"/>
  <c r="P9" i="1"/>
  <c r="Q9" i="1"/>
  <c r="Q84" i="1"/>
  <c r="P84" i="1"/>
  <c r="P83" i="1"/>
  <c r="Q83" i="1"/>
  <c r="P111" i="1"/>
  <c r="Q111" i="1"/>
  <c r="R111" i="1" s="1"/>
  <c r="P81" i="1"/>
  <c r="Q81" i="1"/>
  <c r="P27" i="1"/>
  <c r="Q27" i="1"/>
  <c r="P49" i="1"/>
  <c r="Q49" i="1"/>
  <c r="P97" i="1"/>
  <c r="Q97" i="1"/>
  <c r="R97" i="1" s="1"/>
  <c r="P35" i="1"/>
  <c r="Q35" i="1"/>
  <c r="P63" i="1"/>
  <c r="Q63" i="1"/>
  <c r="R63" i="1" s="1"/>
  <c r="Q132" i="1"/>
  <c r="P132" i="1"/>
  <c r="P71" i="1"/>
  <c r="Q71" i="1"/>
  <c r="R71" i="1" s="1"/>
  <c r="Q21" i="1"/>
  <c r="P21" i="1"/>
  <c r="Q46" i="1"/>
  <c r="P46" i="1"/>
  <c r="P121" i="1"/>
  <c r="Q121" i="1"/>
  <c r="P23" i="1"/>
  <c r="Q23" i="1"/>
  <c r="R23" i="1" s="1"/>
  <c r="P87" i="1"/>
  <c r="Q87" i="1"/>
  <c r="P112" i="1"/>
  <c r="Q112" i="1"/>
  <c r="P129" i="1"/>
  <c r="Q129" i="1"/>
  <c r="Q53" i="1"/>
  <c r="P53" i="1"/>
  <c r="Q94" i="1"/>
  <c r="P94" i="1"/>
  <c r="P56" i="1"/>
  <c r="Q56" i="1"/>
  <c r="R56" i="1" s="1"/>
  <c r="P41" i="1"/>
  <c r="Q41" i="1"/>
  <c r="Q36" i="1"/>
  <c r="P36" i="1"/>
  <c r="Q85" i="1"/>
  <c r="P85" i="1"/>
  <c r="Q126" i="1"/>
  <c r="P126" i="1"/>
  <c r="P66" i="1"/>
  <c r="Q66" i="1"/>
  <c r="P130" i="1"/>
  <c r="Q130" i="1"/>
  <c r="R130" i="1" s="1"/>
  <c r="P67" i="1"/>
  <c r="Q67" i="1"/>
  <c r="P131" i="1"/>
  <c r="Q131" i="1"/>
  <c r="Q45" i="1"/>
  <c r="P45" i="1"/>
  <c r="Q134" i="1"/>
  <c r="P134" i="1"/>
  <c r="Q93" i="1"/>
  <c r="R93" i="1" s="1"/>
  <c r="P93" i="1"/>
  <c r="Q125" i="1"/>
  <c r="P125" i="1"/>
  <c r="Q28" i="1"/>
  <c r="P28" i="1"/>
  <c r="Q117" i="1"/>
  <c r="P117" i="1"/>
  <c r="Q14" i="1"/>
  <c r="P14" i="1"/>
  <c r="Q6" i="1"/>
  <c r="P6" i="1"/>
  <c r="Q92" i="1"/>
  <c r="P92" i="1"/>
  <c r="P31" i="1"/>
  <c r="Q31" i="1"/>
  <c r="P95" i="1"/>
  <c r="Q95" i="1"/>
  <c r="P128" i="1"/>
  <c r="Q128" i="1"/>
  <c r="Q20" i="1"/>
  <c r="P20" i="1"/>
  <c r="Q77" i="1"/>
  <c r="P77" i="1"/>
  <c r="Q110" i="1"/>
  <c r="R110" i="1" s="1"/>
  <c r="P110" i="1"/>
  <c r="P64" i="1"/>
  <c r="Q64" i="1"/>
  <c r="R64" i="1" s="1"/>
  <c r="P57" i="1"/>
  <c r="Q57" i="1"/>
  <c r="Q60" i="1"/>
  <c r="P60" i="1"/>
  <c r="Q101" i="1"/>
  <c r="P101" i="1"/>
  <c r="P10" i="1"/>
  <c r="Q10" i="1"/>
  <c r="R10" i="1" s="1"/>
  <c r="P74" i="1"/>
  <c r="Q74" i="1"/>
  <c r="P11" i="1"/>
  <c r="Q11" i="1"/>
  <c r="R11" i="1" s="1"/>
  <c r="P75" i="1"/>
  <c r="Q75" i="1"/>
  <c r="Q12" i="1"/>
  <c r="P12" i="1"/>
  <c r="Q69" i="1"/>
  <c r="P69" i="1"/>
  <c r="R25" i="1"/>
  <c r="O93" i="1"/>
  <c r="O57" i="1"/>
  <c r="O75" i="1"/>
  <c r="O111" i="1"/>
  <c r="O88" i="1"/>
  <c r="O84" i="1"/>
  <c r="O19" i="1"/>
  <c r="O83" i="1"/>
  <c r="O28" i="1"/>
  <c r="O109" i="1"/>
  <c r="O55" i="1"/>
  <c r="O119" i="1"/>
  <c r="O49" i="1"/>
  <c r="O92" i="1"/>
  <c r="O133" i="1"/>
  <c r="O24" i="1"/>
  <c r="O96" i="1"/>
  <c r="O81" i="1"/>
  <c r="O108" i="1"/>
  <c r="O14" i="1"/>
  <c r="O26" i="1"/>
  <c r="O90" i="1"/>
  <c r="O27" i="1"/>
  <c r="O91" i="1"/>
  <c r="O52" i="1"/>
  <c r="O6" i="1"/>
  <c r="O103" i="1"/>
  <c r="O8" i="1"/>
  <c r="O10" i="1"/>
  <c r="O11" i="1"/>
  <c r="O68" i="1"/>
  <c r="O18" i="1"/>
  <c r="O65" i="1"/>
  <c r="O104" i="1"/>
  <c r="O34" i="1"/>
  <c r="O30" i="1"/>
  <c r="O21" i="1"/>
  <c r="O46" i="1"/>
  <c r="O40" i="1"/>
  <c r="O120" i="1"/>
  <c r="O105" i="1"/>
  <c r="O5" i="1"/>
  <c r="O62" i="1"/>
  <c r="O42" i="1"/>
  <c r="O106" i="1"/>
  <c r="O43" i="1"/>
  <c r="O107" i="1"/>
  <c r="O100" i="1"/>
  <c r="O54" i="1"/>
  <c r="O9" i="1"/>
  <c r="O60" i="1"/>
  <c r="O74" i="1"/>
  <c r="O47" i="1"/>
  <c r="O16" i="1"/>
  <c r="O125" i="1"/>
  <c r="O127" i="1"/>
  <c r="O32" i="1"/>
  <c r="O124" i="1"/>
  <c r="O98" i="1"/>
  <c r="O35" i="1"/>
  <c r="O3" i="1"/>
  <c r="O79" i="1"/>
  <c r="O80" i="1"/>
  <c r="O113" i="1"/>
  <c r="O37" i="1"/>
  <c r="O70" i="1"/>
  <c r="O48" i="1"/>
  <c r="O17" i="1"/>
  <c r="O121" i="1"/>
  <c r="O29" i="1"/>
  <c r="O78" i="1"/>
  <c r="O50" i="1"/>
  <c r="O114" i="1"/>
  <c r="O51" i="1"/>
  <c r="O115" i="1"/>
  <c r="O116" i="1"/>
  <c r="O86" i="1"/>
  <c r="O39" i="1"/>
  <c r="O72" i="1"/>
  <c r="O69" i="1"/>
  <c r="O33" i="1"/>
  <c r="O73" i="1"/>
  <c r="O63" i="1"/>
  <c r="O22" i="1"/>
  <c r="O38" i="1"/>
  <c r="O99" i="1"/>
  <c r="O7" i="1"/>
  <c r="O89" i="1"/>
  <c r="O87" i="1"/>
  <c r="O112" i="1"/>
  <c r="O129" i="1"/>
  <c r="O53" i="1"/>
  <c r="O94" i="1"/>
  <c r="O56" i="1"/>
  <c r="O25" i="1"/>
  <c r="O4" i="1"/>
  <c r="O61" i="1"/>
  <c r="O102" i="1"/>
  <c r="O58" i="1"/>
  <c r="O122" i="1"/>
  <c r="O59" i="1"/>
  <c r="O123" i="1"/>
  <c r="O13" i="1"/>
  <c r="O118" i="1"/>
  <c r="O44" i="1"/>
  <c r="O101" i="1"/>
  <c r="O12" i="1"/>
  <c r="O117" i="1"/>
  <c r="O82" i="1"/>
  <c r="O132" i="1"/>
  <c r="O97" i="1"/>
  <c r="O76" i="1"/>
  <c r="O71" i="1"/>
  <c r="O15" i="1"/>
  <c r="O23" i="1"/>
  <c r="O31" i="1"/>
  <c r="O95" i="1"/>
  <c r="O128" i="1"/>
  <c r="O20" i="1"/>
  <c r="O77" i="1"/>
  <c r="O110" i="1"/>
  <c r="O64" i="1"/>
  <c r="O41" i="1"/>
  <c r="O36" i="1"/>
  <c r="O85" i="1"/>
  <c r="O126" i="1"/>
  <c r="O66" i="1"/>
  <c r="O130" i="1"/>
  <c r="O67" i="1"/>
  <c r="O131" i="1"/>
  <c r="O45" i="1"/>
  <c r="O134" i="1"/>
  <c r="R123" i="1" l="1"/>
  <c r="R69" i="1"/>
  <c r="R20" i="1"/>
  <c r="R45" i="1"/>
  <c r="R124" i="1"/>
  <c r="R62" i="1"/>
  <c r="R52" i="1"/>
  <c r="R61" i="1"/>
  <c r="R116" i="1"/>
  <c r="R31" i="1"/>
  <c r="R101" i="1"/>
  <c r="R14" i="1"/>
  <c r="R85" i="1"/>
  <c r="R21" i="1"/>
  <c r="R70" i="1"/>
  <c r="R28" i="1"/>
  <c r="R132" i="1"/>
  <c r="R13" i="1"/>
  <c r="R128" i="1"/>
  <c r="R131" i="1"/>
  <c r="R112" i="1"/>
  <c r="R27" i="1"/>
  <c r="R120" i="1"/>
  <c r="R42" i="1"/>
  <c r="R55" i="1"/>
  <c r="R92" i="1"/>
  <c r="R76" i="1"/>
  <c r="R68" i="1"/>
  <c r="R78" i="1"/>
  <c r="R103" i="1"/>
  <c r="R54" i="1"/>
  <c r="R94" i="1"/>
  <c r="R60" i="1"/>
  <c r="R77" i="1"/>
  <c r="R117" i="1"/>
  <c r="R134" i="1"/>
  <c r="R36" i="1"/>
  <c r="R53" i="1"/>
  <c r="R118" i="1"/>
  <c r="R4" i="1"/>
  <c r="R37" i="1"/>
  <c r="R109" i="1"/>
  <c r="R29" i="1"/>
  <c r="R30" i="1"/>
  <c r="R108" i="1"/>
  <c r="R5" i="1"/>
  <c r="R22" i="1"/>
  <c r="R38" i="1"/>
  <c r="R74" i="1"/>
  <c r="R57" i="1"/>
  <c r="R66" i="1"/>
  <c r="R41" i="1"/>
  <c r="R129" i="1"/>
  <c r="R121" i="1"/>
  <c r="R49" i="1"/>
  <c r="R83" i="1"/>
  <c r="R58" i="1"/>
  <c r="R17" i="1"/>
  <c r="R113" i="1"/>
  <c r="R50" i="1"/>
  <c r="R91" i="1"/>
  <c r="R8" i="1"/>
  <c r="R51" i="1"/>
  <c r="R40" i="1"/>
  <c r="R106" i="1"/>
  <c r="R105" i="1"/>
  <c r="R65" i="1"/>
  <c r="R24" i="1"/>
  <c r="R16" i="1"/>
  <c r="R72" i="1"/>
  <c r="R12" i="1"/>
  <c r="R6" i="1"/>
  <c r="R125" i="1"/>
  <c r="R126" i="1"/>
  <c r="R46" i="1"/>
  <c r="R84" i="1"/>
  <c r="R102" i="1"/>
  <c r="R86" i="1"/>
  <c r="R133" i="1"/>
  <c r="R100" i="1"/>
  <c r="R44" i="1"/>
  <c r="R75" i="1"/>
  <c r="R95" i="1"/>
  <c r="R67" i="1"/>
  <c r="R87" i="1"/>
  <c r="R35" i="1"/>
  <c r="R81" i="1"/>
  <c r="R9" i="1"/>
  <c r="R59" i="1"/>
  <c r="R79" i="1"/>
  <c r="R3" i="1"/>
  <c r="R96" i="1"/>
  <c r="R33" i="1"/>
  <c r="R7" i="1"/>
  <c r="R90" i="1"/>
  <c r="R73" i="1"/>
  <c r="R107" i="1"/>
  <c r="R32" i="1"/>
  <c r="R98" i="1"/>
  <c r="R39" i="1"/>
</calcChain>
</file>

<file path=xl/sharedStrings.xml><?xml version="1.0" encoding="utf-8"?>
<sst xmlns="http://schemas.openxmlformats.org/spreadsheetml/2006/main" count="34" uniqueCount="20">
  <si>
    <t>Q_tronto</t>
  </si>
  <si>
    <t>Date</t>
  </si>
  <si>
    <t>Q_Inf+RO+Uro_S (m3/s)</t>
  </si>
  <si>
    <t>Q_tot</t>
  </si>
  <si>
    <t>DMV</t>
  </si>
  <si>
    <t>m3/s</t>
  </si>
  <si>
    <t>INDICE PRE</t>
  </si>
  <si>
    <t>INDICE POST</t>
  </si>
  <si>
    <t>SE</t>
  </si>
  <si>
    <t>Delta Index</t>
  </si>
  <si>
    <t>Aquifer discharge</t>
  </si>
  <si>
    <t>Authorized withdrawalsi (agr+ind+other)</t>
  </si>
  <si>
    <t>Civil water withdrawal</t>
  </si>
  <si>
    <t>Lake water demand</t>
  </si>
  <si>
    <t>Agricultural water demand</t>
  </si>
  <si>
    <t>WWTP</t>
  </si>
  <si>
    <t>Q_demand</t>
  </si>
  <si>
    <t xml:space="preserve">Q_available-Q_demand </t>
  </si>
  <si>
    <t>Net available discharge (DMV)</t>
  </si>
  <si>
    <t>Q_available-Q_demand +wwtp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</si>
</sst>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17" fontId="0" fillId="2" borderId="0" xfId="0" applyNumberFormat="1" applyFill="1"/>
    <xf numFmtId="0" fontId="2" fillId="0" borderId="0" xfId="0" applyFont="1"/>
    <xf numFmtId="0" fontId="3" fillId="0" borderId="0" xfId="0" applyFont="1"/>
    <xf numFmtId="2" fontId="0" fillId="0" borderId="0" xfId="0" applyNumberFormat="1"/>
    <xf numFmtId="164" fontId="0" fillId="0" borderId="0" xfId="1" applyNumberFormat="1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1785398652579595E-2"/>
          <c:y val="0.20333333333333334"/>
          <c:w val="0.90076589301459598"/>
          <c:h val="0.70875232987180947"/>
        </c:manualLayout>
      </c:layout>
      <c:scatterChart>
        <c:scatterStyle val="smoothMarker"/>
        <c:varyColors val="0"/>
        <c:ser>
          <c:idx val="2"/>
          <c:order val="0"/>
          <c:tx>
            <c:strRef>
              <c:f>Foglio1!$E$1</c:f>
              <c:strCache>
                <c:ptCount val="1"/>
                <c:pt idx="0">
                  <c:v>Q_tot</c:v>
                </c:pt>
              </c:strCache>
            </c:strRef>
          </c:tx>
          <c:xVal>
            <c:numRef>
              <c:f>Foglio1!$A$3:$A$134</c:f>
              <c:numCache>
                <c:formatCode>mmm\-yy</c:formatCode>
                <c:ptCount val="132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</c:numCache>
            </c:numRef>
          </c:xVal>
          <c:yVal>
            <c:numRef>
              <c:f>Foglio1!$E$3:$E$134</c:f>
              <c:numCache>
                <c:formatCode>General</c:formatCode>
                <c:ptCount val="132"/>
                <c:pt idx="0">
                  <c:v>10.84300589436933</c:v>
                </c:pt>
                <c:pt idx="1">
                  <c:v>12.605534657247457</c:v>
                </c:pt>
                <c:pt idx="2">
                  <c:v>20.92673063246842</c:v>
                </c:pt>
                <c:pt idx="3">
                  <c:v>23.045022682287613</c:v>
                </c:pt>
                <c:pt idx="4">
                  <c:v>15.308198639589127</c:v>
                </c:pt>
                <c:pt idx="5">
                  <c:v>11.062734669496272</c:v>
                </c:pt>
                <c:pt idx="6">
                  <c:v>6.4416726225304126</c:v>
                </c:pt>
                <c:pt idx="7">
                  <c:v>5.9726832216016392</c:v>
                </c:pt>
                <c:pt idx="8">
                  <c:v>5.5725988787629923</c:v>
                </c:pt>
                <c:pt idx="9">
                  <c:v>4.4836083609061763</c:v>
                </c:pt>
                <c:pt idx="10">
                  <c:v>37.087520404492025</c:v>
                </c:pt>
                <c:pt idx="11">
                  <c:v>36.983753985369717</c:v>
                </c:pt>
                <c:pt idx="12">
                  <c:v>13.451665430411946</c:v>
                </c:pt>
                <c:pt idx="13">
                  <c:v>19.378904188636916</c:v>
                </c:pt>
                <c:pt idx="14">
                  <c:v>15.880360002186993</c:v>
                </c:pt>
                <c:pt idx="15">
                  <c:v>20.082659204207804</c:v>
                </c:pt>
                <c:pt idx="16">
                  <c:v>24.506824040682435</c:v>
                </c:pt>
                <c:pt idx="17">
                  <c:v>9.5052443331349608</c:v>
                </c:pt>
                <c:pt idx="18">
                  <c:v>6.7271788703814277</c:v>
                </c:pt>
                <c:pt idx="19">
                  <c:v>5.3004617730720431</c:v>
                </c:pt>
                <c:pt idx="20">
                  <c:v>5.9898339334337827</c:v>
                </c:pt>
                <c:pt idx="21">
                  <c:v>4.8456312889683106</c:v>
                </c:pt>
                <c:pt idx="22">
                  <c:v>5.0447054110564826</c:v>
                </c:pt>
                <c:pt idx="23">
                  <c:v>4.5478134860279562</c:v>
                </c:pt>
                <c:pt idx="24">
                  <c:v>10.84555967491764</c:v>
                </c:pt>
                <c:pt idx="25">
                  <c:v>24.139824663041736</c:v>
                </c:pt>
                <c:pt idx="26">
                  <c:v>41.400528555912558</c:v>
                </c:pt>
                <c:pt idx="27">
                  <c:v>21.56413865444922</c:v>
                </c:pt>
                <c:pt idx="28">
                  <c:v>10.25681164025189</c:v>
                </c:pt>
                <c:pt idx="29">
                  <c:v>6.4709607954801553</c:v>
                </c:pt>
                <c:pt idx="30">
                  <c:v>5.7277700871004935</c:v>
                </c:pt>
                <c:pt idx="31">
                  <c:v>4.7954370874940055</c:v>
                </c:pt>
                <c:pt idx="32">
                  <c:v>4.7828546595944532</c:v>
                </c:pt>
                <c:pt idx="33">
                  <c:v>9.4558120817118123</c:v>
                </c:pt>
                <c:pt idx="34">
                  <c:v>5.6255605841943064</c:v>
                </c:pt>
                <c:pt idx="35">
                  <c:v>5.1272424501651068</c:v>
                </c:pt>
                <c:pt idx="36">
                  <c:v>6.2254565607262951</c:v>
                </c:pt>
                <c:pt idx="37">
                  <c:v>9.8354606433418166</c:v>
                </c:pt>
                <c:pt idx="38">
                  <c:v>23.688192050859676</c:v>
                </c:pt>
                <c:pt idx="39">
                  <c:v>16.324214896113975</c:v>
                </c:pt>
                <c:pt idx="40">
                  <c:v>18.65170223742372</c:v>
                </c:pt>
                <c:pt idx="41">
                  <c:v>12.075330260566369</c:v>
                </c:pt>
                <c:pt idx="42">
                  <c:v>10.294188956290698</c:v>
                </c:pt>
                <c:pt idx="43">
                  <c:v>8.4987089666171922</c:v>
                </c:pt>
                <c:pt idx="44">
                  <c:v>13.51000614584307</c:v>
                </c:pt>
                <c:pt idx="45">
                  <c:v>13.906577229278371</c:v>
                </c:pt>
                <c:pt idx="46">
                  <c:v>14.535601825989653</c:v>
                </c:pt>
                <c:pt idx="47">
                  <c:v>10.208107715864907</c:v>
                </c:pt>
                <c:pt idx="48">
                  <c:v>22.204803960129215</c:v>
                </c:pt>
                <c:pt idx="49">
                  <c:v>55.276301876748221</c:v>
                </c:pt>
                <c:pt idx="50">
                  <c:v>37.181475120994243</c:v>
                </c:pt>
                <c:pt idx="51">
                  <c:v>19.823460218750952</c:v>
                </c:pt>
                <c:pt idx="52">
                  <c:v>13.86097897453811</c:v>
                </c:pt>
                <c:pt idx="53">
                  <c:v>9.6151201695560111</c:v>
                </c:pt>
                <c:pt idx="54">
                  <c:v>8.0179076382400911</c:v>
                </c:pt>
                <c:pt idx="55">
                  <c:v>7.0062104554717219</c:v>
                </c:pt>
                <c:pt idx="56">
                  <c:v>5.8455895549318715</c:v>
                </c:pt>
                <c:pt idx="57">
                  <c:v>4.787564410236488</c:v>
                </c:pt>
                <c:pt idx="58">
                  <c:v>13.526093072822372</c:v>
                </c:pt>
                <c:pt idx="59">
                  <c:v>22.260282492960208</c:v>
                </c:pt>
                <c:pt idx="60">
                  <c:v>13.018779832490345</c:v>
                </c:pt>
                <c:pt idx="61">
                  <c:v>18.394098464338615</c:v>
                </c:pt>
                <c:pt idx="62">
                  <c:v>54.437443524280496</c:v>
                </c:pt>
                <c:pt idx="63">
                  <c:v>40.760568860777319</c:v>
                </c:pt>
                <c:pt idx="64">
                  <c:v>42.452356062328789</c:v>
                </c:pt>
                <c:pt idx="65">
                  <c:v>27.426336026315923</c:v>
                </c:pt>
                <c:pt idx="66">
                  <c:v>17.149718658365657</c:v>
                </c:pt>
                <c:pt idx="67">
                  <c:v>14.51341431360539</c:v>
                </c:pt>
                <c:pt idx="68">
                  <c:v>13.759161141398017</c:v>
                </c:pt>
                <c:pt idx="69">
                  <c:v>13.536839343841404</c:v>
                </c:pt>
                <c:pt idx="70">
                  <c:v>15.796197150703758</c:v>
                </c:pt>
                <c:pt idx="71">
                  <c:v>17.29958020293223</c:v>
                </c:pt>
                <c:pt idx="72">
                  <c:v>15.76002298110131</c:v>
                </c:pt>
                <c:pt idx="73">
                  <c:v>20.483967777971813</c:v>
                </c:pt>
                <c:pt idx="74">
                  <c:v>13.615277105650216</c:v>
                </c:pt>
                <c:pt idx="75">
                  <c:v>17.215859994671604</c:v>
                </c:pt>
                <c:pt idx="76">
                  <c:v>26.474596545094464</c:v>
                </c:pt>
                <c:pt idx="77">
                  <c:v>11.808768542229124</c:v>
                </c:pt>
                <c:pt idx="78">
                  <c:v>9.0263698477416199</c:v>
                </c:pt>
                <c:pt idx="79">
                  <c:v>9.765551614447288</c:v>
                </c:pt>
                <c:pt idx="80">
                  <c:v>8.8843087206989537</c:v>
                </c:pt>
                <c:pt idx="81">
                  <c:v>8.4521389598013261</c:v>
                </c:pt>
                <c:pt idx="82">
                  <c:v>11.206421415601175</c:v>
                </c:pt>
                <c:pt idx="83">
                  <c:v>11.882063148796856</c:v>
                </c:pt>
                <c:pt idx="84">
                  <c:v>9.6324608535239378</c:v>
                </c:pt>
                <c:pt idx="85">
                  <c:v>8.5203959486749294</c:v>
                </c:pt>
                <c:pt idx="86">
                  <c:v>16.954460137301091</c:v>
                </c:pt>
                <c:pt idx="87">
                  <c:v>18.950464220575618</c:v>
                </c:pt>
                <c:pt idx="88">
                  <c:v>9.4583595919695842</c:v>
                </c:pt>
                <c:pt idx="89">
                  <c:v>4.520071674013832</c:v>
                </c:pt>
                <c:pt idx="90">
                  <c:v>2.7708441802706494</c:v>
                </c:pt>
                <c:pt idx="91">
                  <c:v>2.5216436457424432</c:v>
                </c:pt>
                <c:pt idx="92">
                  <c:v>3.0498924482967786</c:v>
                </c:pt>
                <c:pt idx="93">
                  <c:v>4.2545996085044173</c:v>
                </c:pt>
                <c:pt idx="94">
                  <c:v>5.1133857842079804</c:v>
                </c:pt>
                <c:pt idx="95">
                  <c:v>10.224059634428015</c:v>
                </c:pt>
                <c:pt idx="96">
                  <c:v>17.241058826414417</c:v>
                </c:pt>
                <c:pt idx="97">
                  <c:v>23.344072801060911</c:v>
                </c:pt>
                <c:pt idx="98">
                  <c:v>12.803659182656819</c:v>
                </c:pt>
                <c:pt idx="99">
                  <c:v>14.436891299169964</c:v>
                </c:pt>
                <c:pt idx="100">
                  <c:v>14.286771438065351</c:v>
                </c:pt>
                <c:pt idx="101">
                  <c:v>9.9625027609253713</c:v>
                </c:pt>
                <c:pt idx="102">
                  <c:v>9.42596753556853</c:v>
                </c:pt>
                <c:pt idx="103">
                  <c:v>5.1580668991660747</c:v>
                </c:pt>
                <c:pt idx="104">
                  <c:v>4.8588166965058903</c:v>
                </c:pt>
                <c:pt idx="105">
                  <c:v>15.192115476408238</c:v>
                </c:pt>
                <c:pt idx="106">
                  <c:v>42.700102111095831</c:v>
                </c:pt>
                <c:pt idx="107">
                  <c:v>42.14853701239339</c:v>
                </c:pt>
                <c:pt idx="108">
                  <c:v>15.605381667198317</c:v>
                </c:pt>
                <c:pt idx="109">
                  <c:v>11.238211518530047</c:v>
                </c:pt>
                <c:pt idx="110">
                  <c:v>23.470900523086968</c:v>
                </c:pt>
                <c:pt idx="111">
                  <c:v>22.217352953307369</c:v>
                </c:pt>
                <c:pt idx="112">
                  <c:v>21.026845296445376</c:v>
                </c:pt>
                <c:pt idx="113">
                  <c:v>17.031055483135535</c:v>
                </c:pt>
                <c:pt idx="114">
                  <c:v>8.8208052308863465</c:v>
                </c:pt>
                <c:pt idx="115">
                  <c:v>7.2195392480627776</c:v>
                </c:pt>
                <c:pt idx="116">
                  <c:v>6.2775026302539105</c:v>
                </c:pt>
                <c:pt idx="117">
                  <c:v>6.6308921658718116</c:v>
                </c:pt>
                <c:pt idx="118">
                  <c:v>4.649003750077215</c:v>
                </c:pt>
                <c:pt idx="119">
                  <c:v>3.7402409846062592</c:v>
                </c:pt>
                <c:pt idx="120">
                  <c:v>11.328378965854105</c:v>
                </c:pt>
                <c:pt idx="121">
                  <c:v>10.849954585918146</c:v>
                </c:pt>
                <c:pt idx="122">
                  <c:v>21.889477915504028</c:v>
                </c:pt>
                <c:pt idx="123">
                  <c:v>26.258899392021057</c:v>
                </c:pt>
                <c:pt idx="124">
                  <c:v>51.762098079409718</c:v>
                </c:pt>
                <c:pt idx="125">
                  <c:v>34.89203193718977</c:v>
                </c:pt>
                <c:pt idx="126">
                  <c:v>12.573530394729559</c:v>
                </c:pt>
                <c:pt idx="127">
                  <c:v>11.211094208743807</c:v>
                </c:pt>
                <c:pt idx="128">
                  <c:v>9.4480508299096027</c:v>
                </c:pt>
                <c:pt idx="129">
                  <c:v>9.309874062035389</c:v>
                </c:pt>
                <c:pt idx="130">
                  <c:v>9.5328651307959209</c:v>
                </c:pt>
                <c:pt idx="131">
                  <c:v>11.021340939819803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E5-4751-8B88-B2B1C79E82CD}"/>
            </c:ext>
          </c:extLst>
        </c:ser>
        <c:ser>
          <c:idx val="3"/>
          <c:order val="1"/>
          <c:tx>
            <c:strRef>
              <c:f>Foglio1!$G$1</c:f>
              <c:strCache>
                <c:ptCount val="1"/>
                <c:pt idx="0">
                  <c:v>Net available discharge (DMV)</c:v>
                </c:pt>
              </c:strCache>
            </c:strRef>
          </c:tx>
          <c:xVal>
            <c:numRef>
              <c:f>Foglio1!$A$3:$A$134</c:f>
              <c:numCache>
                <c:formatCode>mmm\-yy</c:formatCode>
                <c:ptCount val="132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</c:numCache>
            </c:numRef>
          </c:xVal>
          <c:yVal>
            <c:numRef>
              <c:f>Foglio1!$G$3:$G$134</c:f>
              <c:numCache>
                <c:formatCode>General</c:formatCode>
                <c:ptCount val="132"/>
                <c:pt idx="0">
                  <c:v>5.8030058943693303</c:v>
                </c:pt>
                <c:pt idx="1">
                  <c:v>6.7955346572474573</c:v>
                </c:pt>
                <c:pt idx="2">
                  <c:v>15.116730632468421</c:v>
                </c:pt>
                <c:pt idx="3">
                  <c:v>18.005022682287613</c:v>
                </c:pt>
                <c:pt idx="4">
                  <c:v>10.268198639589126</c:v>
                </c:pt>
                <c:pt idx="5">
                  <c:v>6.0227346694962725</c:v>
                </c:pt>
                <c:pt idx="6">
                  <c:v>2.5716726225304125</c:v>
                </c:pt>
                <c:pt idx="7">
                  <c:v>2.1026832216016391</c:v>
                </c:pt>
                <c:pt idx="8">
                  <c:v>1.7025988787629922</c:v>
                </c:pt>
                <c:pt idx="9">
                  <c:v>0.61360836090617621</c:v>
                </c:pt>
                <c:pt idx="10">
                  <c:v>32.047520404492026</c:v>
                </c:pt>
                <c:pt idx="11">
                  <c:v>31.943753985369717</c:v>
                </c:pt>
                <c:pt idx="12">
                  <c:v>8.4116654304119471</c:v>
                </c:pt>
                <c:pt idx="13">
                  <c:v>13.568904188636917</c:v>
                </c:pt>
                <c:pt idx="14">
                  <c:v>10.070360002186995</c:v>
                </c:pt>
                <c:pt idx="15">
                  <c:v>15.042659204207805</c:v>
                </c:pt>
                <c:pt idx="16">
                  <c:v>19.466824040682436</c:v>
                </c:pt>
                <c:pt idx="17">
                  <c:v>4.4652443331349607</c:v>
                </c:pt>
                <c:pt idx="18">
                  <c:v>2.8571788703814276</c:v>
                </c:pt>
                <c:pt idx="19">
                  <c:v>1.430461773072043</c:v>
                </c:pt>
                <c:pt idx="20">
                  <c:v>2.1198339334337826</c:v>
                </c:pt>
                <c:pt idx="21">
                  <c:v>0.97563128896831053</c:v>
                </c:pt>
                <c:pt idx="22">
                  <c:v>4.7054110564825891E-3</c:v>
                </c:pt>
                <c:pt idx="23">
                  <c:v>-0.49218651397204383</c:v>
                </c:pt>
                <c:pt idx="24">
                  <c:v>5.8055596749176397</c:v>
                </c:pt>
                <c:pt idx="25">
                  <c:v>18.329824663041737</c:v>
                </c:pt>
                <c:pt idx="26">
                  <c:v>35.590528555912556</c:v>
                </c:pt>
                <c:pt idx="27">
                  <c:v>16.524138654449221</c:v>
                </c:pt>
                <c:pt idx="28">
                  <c:v>5.2168116402518896</c:v>
                </c:pt>
                <c:pt idx="29">
                  <c:v>1.4309607954801553</c:v>
                </c:pt>
                <c:pt idx="30">
                  <c:v>1.8577700871004934</c:v>
                </c:pt>
                <c:pt idx="31">
                  <c:v>0.92543708749400544</c:v>
                </c:pt>
                <c:pt idx="32">
                  <c:v>0.91285465959445311</c:v>
                </c:pt>
                <c:pt idx="33">
                  <c:v>5.5858120817118122</c:v>
                </c:pt>
                <c:pt idx="34">
                  <c:v>0.58556058419430634</c:v>
                </c:pt>
                <c:pt idx="35">
                  <c:v>8.7242450165106789E-2</c:v>
                </c:pt>
                <c:pt idx="36">
                  <c:v>1.185456560726295</c:v>
                </c:pt>
                <c:pt idx="37">
                  <c:v>4.025460643341817</c:v>
                </c:pt>
                <c:pt idx="38">
                  <c:v>17.878192050859678</c:v>
                </c:pt>
                <c:pt idx="39">
                  <c:v>11.284214896113976</c:v>
                </c:pt>
                <c:pt idx="40">
                  <c:v>13.611702237423721</c:v>
                </c:pt>
                <c:pt idx="41">
                  <c:v>7.0353302605663695</c:v>
                </c:pt>
                <c:pt idx="42">
                  <c:v>6.4241889562906982</c:v>
                </c:pt>
                <c:pt idx="43">
                  <c:v>4.6287089666171921</c:v>
                </c:pt>
                <c:pt idx="44">
                  <c:v>9.6400061458430706</c:v>
                </c:pt>
                <c:pt idx="45">
                  <c:v>10.036577229278372</c:v>
                </c:pt>
                <c:pt idx="46">
                  <c:v>9.4956018259896524</c:v>
                </c:pt>
                <c:pt idx="47">
                  <c:v>5.1681077158649069</c:v>
                </c:pt>
                <c:pt idx="48">
                  <c:v>17.164803960129216</c:v>
                </c:pt>
                <c:pt idx="49">
                  <c:v>49.466301876748219</c:v>
                </c:pt>
                <c:pt idx="50">
                  <c:v>31.371475120994244</c:v>
                </c:pt>
                <c:pt idx="51">
                  <c:v>14.783460218750953</c:v>
                </c:pt>
                <c:pt idx="52">
                  <c:v>8.8209789745381109</c:v>
                </c:pt>
                <c:pt idx="53">
                  <c:v>4.5751201695560111</c:v>
                </c:pt>
                <c:pt idx="54">
                  <c:v>4.147907638240091</c:v>
                </c:pt>
                <c:pt idx="55">
                  <c:v>3.1362104554717218</c:v>
                </c:pt>
                <c:pt idx="56">
                  <c:v>1.9755895549318714</c:v>
                </c:pt>
                <c:pt idx="57">
                  <c:v>0.91756441023648794</c:v>
                </c:pt>
                <c:pt idx="58">
                  <c:v>8.4860930728223707</c:v>
                </c:pt>
                <c:pt idx="59">
                  <c:v>17.220282492960209</c:v>
                </c:pt>
                <c:pt idx="60">
                  <c:v>7.9787798324903454</c:v>
                </c:pt>
                <c:pt idx="61">
                  <c:v>12.584098464338616</c:v>
                </c:pt>
                <c:pt idx="62">
                  <c:v>48.627443524280494</c:v>
                </c:pt>
                <c:pt idx="63">
                  <c:v>35.72056886077732</c:v>
                </c:pt>
                <c:pt idx="64">
                  <c:v>37.41235606232879</c:v>
                </c:pt>
                <c:pt idx="65">
                  <c:v>22.386336026315924</c:v>
                </c:pt>
                <c:pt idx="66">
                  <c:v>13.279718658365656</c:v>
                </c:pt>
                <c:pt idx="67">
                  <c:v>10.64341431360539</c:v>
                </c:pt>
                <c:pt idx="68">
                  <c:v>9.8891611413980165</c:v>
                </c:pt>
                <c:pt idx="69">
                  <c:v>9.6668393438414029</c:v>
                </c:pt>
                <c:pt idx="70">
                  <c:v>10.756197150703759</c:v>
                </c:pt>
                <c:pt idx="71">
                  <c:v>12.259580202932231</c:v>
                </c:pt>
                <c:pt idx="72">
                  <c:v>10.720022981101309</c:v>
                </c:pt>
                <c:pt idx="73">
                  <c:v>14.673967777971814</c:v>
                </c:pt>
                <c:pt idx="74">
                  <c:v>7.8052771056502168</c:v>
                </c:pt>
                <c:pt idx="75">
                  <c:v>12.175859994671605</c:v>
                </c:pt>
                <c:pt idx="76">
                  <c:v>21.434596545094465</c:v>
                </c:pt>
                <c:pt idx="77">
                  <c:v>6.7687685422291244</c:v>
                </c:pt>
                <c:pt idx="78">
                  <c:v>5.1563698477416198</c:v>
                </c:pt>
                <c:pt idx="79">
                  <c:v>5.8955516144472879</c:v>
                </c:pt>
                <c:pt idx="80">
                  <c:v>5.0143087206989536</c:v>
                </c:pt>
                <c:pt idx="81">
                  <c:v>4.582138959801326</c:v>
                </c:pt>
                <c:pt idx="82">
                  <c:v>6.1664214156011754</c:v>
                </c:pt>
                <c:pt idx="83">
                  <c:v>6.8420631487968562</c:v>
                </c:pt>
                <c:pt idx="84">
                  <c:v>4.5924608535239377</c:v>
                </c:pt>
                <c:pt idx="85">
                  <c:v>2.7103959486749298</c:v>
                </c:pt>
                <c:pt idx="86">
                  <c:v>11.144460137301092</c:v>
                </c:pt>
                <c:pt idx="87">
                  <c:v>13.910464220575619</c:v>
                </c:pt>
                <c:pt idx="88">
                  <c:v>4.4183595919695842</c:v>
                </c:pt>
                <c:pt idx="89">
                  <c:v>-0.51992832598616801</c:v>
                </c:pt>
                <c:pt idx="90">
                  <c:v>-1.0991558197293507</c:v>
                </c:pt>
                <c:pt idx="91">
                  <c:v>-1.348356354257557</c:v>
                </c:pt>
                <c:pt idx="92">
                  <c:v>-0.82010755170322147</c:v>
                </c:pt>
                <c:pt idx="93">
                  <c:v>0.38459960850441721</c:v>
                </c:pt>
                <c:pt idx="94">
                  <c:v>7.3385784207980365E-2</c:v>
                </c:pt>
                <c:pt idx="95">
                  <c:v>5.1840596344280145</c:v>
                </c:pt>
                <c:pt idx="96">
                  <c:v>12.201058826414418</c:v>
                </c:pt>
                <c:pt idx="97">
                  <c:v>17.534072801060912</c:v>
                </c:pt>
                <c:pt idx="98">
                  <c:v>6.9936591826568195</c:v>
                </c:pt>
                <c:pt idx="99">
                  <c:v>9.3968912991699654</c:v>
                </c:pt>
                <c:pt idx="100">
                  <c:v>9.2467714380653518</c:v>
                </c:pt>
                <c:pt idx="101">
                  <c:v>4.9225027609253713</c:v>
                </c:pt>
                <c:pt idx="102">
                  <c:v>5.5559675355685298</c:v>
                </c:pt>
                <c:pt idx="103">
                  <c:v>1.2880668991660746</c:v>
                </c:pt>
                <c:pt idx="104">
                  <c:v>0.98881669650589021</c:v>
                </c:pt>
                <c:pt idx="105">
                  <c:v>11.322115476408239</c:v>
                </c:pt>
                <c:pt idx="106">
                  <c:v>37.660102111095831</c:v>
                </c:pt>
                <c:pt idx="107">
                  <c:v>37.108537012393391</c:v>
                </c:pt>
                <c:pt idx="108">
                  <c:v>10.565381667198317</c:v>
                </c:pt>
                <c:pt idx="109">
                  <c:v>5.4282115185300475</c:v>
                </c:pt>
                <c:pt idx="110">
                  <c:v>17.660900523086969</c:v>
                </c:pt>
                <c:pt idx="111">
                  <c:v>17.17735295330737</c:v>
                </c:pt>
                <c:pt idx="112">
                  <c:v>15.986845296445377</c:v>
                </c:pt>
                <c:pt idx="113">
                  <c:v>11.991055483135536</c:v>
                </c:pt>
                <c:pt idx="114">
                  <c:v>4.9508052308863464</c:v>
                </c:pt>
                <c:pt idx="115">
                  <c:v>3.3495392480627775</c:v>
                </c:pt>
                <c:pt idx="116">
                  <c:v>2.4075026302539104</c:v>
                </c:pt>
                <c:pt idx="117">
                  <c:v>2.7608921658718115</c:v>
                </c:pt>
                <c:pt idx="118">
                  <c:v>-0.39099624992278503</c:v>
                </c:pt>
                <c:pt idx="119">
                  <c:v>-1.2997590153937408</c:v>
                </c:pt>
                <c:pt idx="120">
                  <c:v>6.2883789658541049</c:v>
                </c:pt>
                <c:pt idx="121">
                  <c:v>5.0399545859181467</c:v>
                </c:pt>
                <c:pt idx="122">
                  <c:v>16.079477915504029</c:v>
                </c:pt>
                <c:pt idx="123">
                  <c:v>21.218899392021058</c:v>
                </c:pt>
                <c:pt idx="124">
                  <c:v>46.722098079409719</c:v>
                </c:pt>
                <c:pt idx="125">
                  <c:v>29.852031937189771</c:v>
                </c:pt>
                <c:pt idx="126">
                  <c:v>8.7035303947295581</c:v>
                </c:pt>
                <c:pt idx="127">
                  <c:v>7.3410942087438071</c:v>
                </c:pt>
                <c:pt idx="128">
                  <c:v>5.5780508299096025</c:v>
                </c:pt>
                <c:pt idx="129">
                  <c:v>5.4398740620353889</c:v>
                </c:pt>
                <c:pt idx="130">
                  <c:v>4.4928651307959209</c:v>
                </c:pt>
                <c:pt idx="131">
                  <c:v>5.9813409398198027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E5-4751-8B88-B2B1C79E82CD}"/>
            </c:ext>
          </c:extLst>
        </c:ser>
        <c:ser>
          <c:idx val="0"/>
          <c:order val="2"/>
          <c:tx>
            <c:strRef>
              <c:f>Foglio1!$L$1</c:f>
              <c:strCache>
                <c:ptCount val="1"/>
                <c:pt idx="0">
                  <c:v>Q_demand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Foglio1!$A$3:$A$134</c:f>
              <c:numCache>
                <c:formatCode>mmm\-yy</c:formatCode>
                <c:ptCount val="132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</c:numCache>
            </c:numRef>
          </c:xVal>
          <c:yVal>
            <c:numRef>
              <c:f>Foglio1!$L$3:$L$134</c:f>
              <c:numCache>
                <c:formatCode>General</c:formatCode>
                <c:ptCount val="132"/>
                <c:pt idx="0">
                  <c:v>7.1126183116734062E-2</c:v>
                </c:pt>
                <c:pt idx="1">
                  <c:v>7.8032472584137549E-2</c:v>
                </c:pt>
                <c:pt idx="2">
                  <c:v>7.3510834016629278E-2</c:v>
                </c:pt>
                <c:pt idx="3">
                  <c:v>0.13937345528111283</c:v>
                </c:pt>
                <c:pt idx="4">
                  <c:v>0.12880089125752631</c:v>
                </c:pt>
                <c:pt idx="5">
                  <c:v>0.13514028319078381</c:v>
                </c:pt>
                <c:pt idx="6">
                  <c:v>0.14095790618092335</c:v>
                </c:pt>
                <c:pt idx="7">
                  <c:v>0.13688571545794181</c:v>
                </c:pt>
                <c:pt idx="8">
                  <c:v>0.14041505094638573</c:v>
                </c:pt>
                <c:pt idx="9">
                  <c:v>7.7803350127818083E-2</c:v>
                </c:pt>
                <c:pt idx="10">
                  <c:v>4.6061428571428573E-2</c:v>
                </c:pt>
                <c:pt idx="11">
                  <c:v>7.0031162526005039E-2</c:v>
                </c:pt>
                <c:pt idx="12">
                  <c:v>7.6998927517160948E-2</c:v>
                </c:pt>
                <c:pt idx="13">
                  <c:v>8.6389974092028768E-2</c:v>
                </c:pt>
                <c:pt idx="14">
                  <c:v>6.3178583218711337E-2</c:v>
                </c:pt>
                <c:pt idx="15">
                  <c:v>0.129846469498136</c:v>
                </c:pt>
                <c:pt idx="16">
                  <c:v>0.10334525473630313</c:v>
                </c:pt>
                <c:pt idx="17">
                  <c:v>0.14546607823537819</c:v>
                </c:pt>
                <c:pt idx="18">
                  <c:v>0.12609132619762375</c:v>
                </c:pt>
                <c:pt idx="19">
                  <c:v>0.15696414356864286</c:v>
                </c:pt>
                <c:pt idx="20">
                  <c:v>0.13227567290757875</c:v>
                </c:pt>
                <c:pt idx="21">
                  <c:v>5.8854705652684532E-2</c:v>
                </c:pt>
                <c:pt idx="22">
                  <c:v>8.6275524085567074E-2</c:v>
                </c:pt>
                <c:pt idx="23">
                  <c:v>7.4321300362469908E-2</c:v>
                </c:pt>
                <c:pt idx="24">
                  <c:v>6.8388181362113748E-2</c:v>
                </c:pt>
                <c:pt idx="25">
                  <c:v>5.9912129267225292E-2</c:v>
                </c:pt>
                <c:pt idx="26">
                  <c:v>5.4499286802514889E-2</c:v>
                </c:pt>
                <c:pt idx="27">
                  <c:v>0.13765750349001865</c:v>
                </c:pt>
                <c:pt idx="28">
                  <c:v>0.13266338052628165</c:v>
                </c:pt>
                <c:pt idx="29">
                  <c:v>0.14334681269492405</c:v>
                </c:pt>
                <c:pt idx="30">
                  <c:v>0.15317145249576047</c:v>
                </c:pt>
                <c:pt idx="31">
                  <c:v>0.14346038454151955</c:v>
                </c:pt>
                <c:pt idx="32">
                  <c:v>0.13662493691806976</c:v>
                </c:pt>
                <c:pt idx="33">
                  <c:v>4.6061428571428573E-2</c:v>
                </c:pt>
                <c:pt idx="34">
                  <c:v>7.4715492909997974E-2</c:v>
                </c:pt>
                <c:pt idx="35">
                  <c:v>8.6895598454106104E-2</c:v>
                </c:pt>
                <c:pt idx="36">
                  <c:v>8.6491406678648963E-2</c:v>
                </c:pt>
                <c:pt idx="37">
                  <c:v>7.674159015370316E-2</c:v>
                </c:pt>
                <c:pt idx="38">
                  <c:v>4.6061428571428573E-2</c:v>
                </c:pt>
                <c:pt idx="39">
                  <c:v>0.12489331119169331</c:v>
                </c:pt>
                <c:pt idx="40">
                  <c:v>0.13214011720534879</c:v>
                </c:pt>
                <c:pt idx="41">
                  <c:v>0.14015634877129546</c:v>
                </c:pt>
                <c:pt idx="42">
                  <c:v>0.13398413449559982</c:v>
                </c:pt>
                <c:pt idx="43">
                  <c:v>0.15302211093799817</c:v>
                </c:pt>
                <c:pt idx="44">
                  <c:v>0.12526913709136278</c:v>
                </c:pt>
                <c:pt idx="45">
                  <c:v>5.0982873247282061E-2</c:v>
                </c:pt>
                <c:pt idx="46">
                  <c:v>7.7531690292221594E-2</c:v>
                </c:pt>
                <c:pt idx="47">
                  <c:v>9.0960959526184396E-2</c:v>
                </c:pt>
                <c:pt idx="48">
                  <c:v>4.6061428571428573E-2</c:v>
                </c:pt>
                <c:pt idx="49">
                  <c:v>6.8768908032440901E-2</c:v>
                </c:pt>
                <c:pt idx="50">
                  <c:v>7.7352421980455804E-2</c:v>
                </c:pt>
                <c:pt idx="51">
                  <c:v>0.13322606211503907</c:v>
                </c:pt>
                <c:pt idx="52">
                  <c:v>0.13692897217211578</c:v>
                </c:pt>
                <c:pt idx="53">
                  <c:v>0.1457380455558166</c:v>
                </c:pt>
                <c:pt idx="54">
                  <c:v>0.14358836832889127</c:v>
                </c:pt>
                <c:pt idx="55">
                  <c:v>0.14961466639488175</c:v>
                </c:pt>
                <c:pt idx="56">
                  <c:v>0.12877800048714522</c:v>
                </c:pt>
                <c:pt idx="57">
                  <c:v>7.7717461854106856E-2</c:v>
                </c:pt>
                <c:pt idx="58">
                  <c:v>5.8803404824577452E-2</c:v>
                </c:pt>
                <c:pt idx="59">
                  <c:v>7.08437220159394E-2</c:v>
                </c:pt>
                <c:pt idx="60">
                  <c:v>8.3503968814859053E-2</c:v>
                </c:pt>
                <c:pt idx="61">
                  <c:v>4.6061428571428573E-2</c:v>
                </c:pt>
                <c:pt idx="62">
                  <c:v>5.7552568785111849E-2</c:v>
                </c:pt>
                <c:pt idx="63">
                  <c:v>0.15024020013659151</c:v>
                </c:pt>
                <c:pt idx="64">
                  <c:v>0.11675207253733173</c:v>
                </c:pt>
                <c:pt idx="65">
                  <c:v>0.13702986764573494</c:v>
                </c:pt>
                <c:pt idx="66">
                  <c:v>0.14390867871675156</c:v>
                </c:pt>
                <c:pt idx="67">
                  <c:v>0.14079580536811542</c:v>
                </c:pt>
                <c:pt idx="68">
                  <c:v>0.13987566784564465</c:v>
                </c:pt>
                <c:pt idx="69">
                  <c:v>7.1723480728264344E-2</c:v>
                </c:pt>
                <c:pt idx="70">
                  <c:v>7.7545906359436756E-2</c:v>
                </c:pt>
                <c:pt idx="71">
                  <c:v>7.1464839101690533E-2</c:v>
                </c:pt>
                <c:pt idx="72">
                  <c:v>5.9418213965010923E-2</c:v>
                </c:pt>
                <c:pt idx="73">
                  <c:v>8.4253118201961963E-2</c:v>
                </c:pt>
                <c:pt idx="74">
                  <c:v>8.2355008634560661E-2</c:v>
                </c:pt>
                <c:pt idx="75">
                  <c:v>0.13654698186491177</c:v>
                </c:pt>
                <c:pt idx="76">
                  <c:v>0.10471181159257563</c:v>
                </c:pt>
                <c:pt idx="77">
                  <c:v>0.15497591289861667</c:v>
                </c:pt>
                <c:pt idx="78">
                  <c:v>0.13333354471924924</c:v>
                </c:pt>
                <c:pt idx="79">
                  <c:v>0.14777499340480416</c:v>
                </c:pt>
                <c:pt idx="80">
                  <c:v>0.12620492780306708</c:v>
                </c:pt>
                <c:pt idx="81">
                  <c:v>8.5058954594098637E-2</c:v>
                </c:pt>
                <c:pt idx="82">
                  <c:v>4.6061428571428573E-2</c:v>
                </c:pt>
                <c:pt idx="83">
                  <c:v>7.8136126362037539E-2</c:v>
                </c:pt>
                <c:pt idx="84">
                  <c:v>8.3955366867343478E-2</c:v>
                </c:pt>
                <c:pt idx="85">
                  <c:v>8.5705838685725774E-2</c:v>
                </c:pt>
                <c:pt idx="86">
                  <c:v>4.6061428571428573E-2</c:v>
                </c:pt>
                <c:pt idx="87">
                  <c:v>0.11888694897289655</c:v>
                </c:pt>
                <c:pt idx="88">
                  <c:v>0.13656378813071657</c:v>
                </c:pt>
                <c:pt idx="89">
                  <c:v>0.1405927404060468</c:v>
                </c:pt>
                <c:pt idx="90">
                  <c:v>0.14040421948004722</c:v>
                </c:pt>
                <c:pt idx="91">
                  <c:v>0.1395136402327728</c:v>
                </c:pt>
                <c:pt idx="92">
                  <c:v>0.14278025496473229</c:v>
                </c:pt>
                <c:pt idx="93">
                  <c:v>7.3530496891109923E-2</c:v>
                </c:pt>
                <c:pt idx="94">
                  <c:v>7.182095501826849E-2</c:v>
                </c:pt>
                <c:pt idx="95">
                  <c:v>5.9487918896886302E-2</c:v>
                </c:pt>
                <c:pt idx="96">
                  <c:v>7.1596566757351529E-2</c:v>
                </c:pt>
                <c:pt idx="97">
                  <c:v>8.1227258471724767E-2</c:v>
                </c:pt>
                <c:pt idx="98">
                  <c:v>6.5886734441562969E-2</c:v>
                </c:pt>
                <c:pt idx="99">
                  <c:v>0.13503848760281867</c:v>
                </c:pt>
                <c:pt idx="100">
                  <c:v>0.14034316736759717</c:v>
                </c:pt>
                <c:pt idx="101">
                  <c:v>0.14816588795740343</c:v>
                </c:pt>
                <c:pt idx="102">
                  <c:v>0.13581733916395183</c:v>
                </c:pt>
                <c:pt idx="103">
                  <c:v>0.14928242005254469</c:v>
                </c:pt>
                <c:pt idx="104">
                  <c:v>0.15260225779202274</c:v>
                </c:pt>
                <c:pt idx="105">
                  <c:v>4.89790822023045E-2</c:v>
                </c:pt>
                <c:pt idx="106">
                  <c:v>4.6061428571428573E-2</c:v>
                </c:pt>
                <c:pt idx="107">
                  <c:v>6.4120754541125979E-2</c:v>
                </c:pt>
                <c:pt idx="108">
                  <c:v>6.6755168881851262E-2</c:v>
                </c:pt>
                <c:pt idx="109">
                  <c:v>4.6061428571428573E-2</c:v>
                </c:pt>
                <c:pt idx="110">
                  <c:v>7.6633807999315073E-2</c:v>
                </c:pt>
                <c:pt idx="111">
                  <c:v>0.1365496129834195</c:v>
                </c:pt>
                <c:pt idx="112">
                  <c:v>0.14642646607605589</c:v>
                </c:pt>
                <c:pt idx="113">
                  <c:v>0.14691957665104738</c:v>
                </c:pt>
                <c:pt idx="114">
                  <c:v>0.13815522337781738</c:v>
                </c:pt>
                <c:pt idx="115">
                  <c:v>0.14269066596504526</c:v>
                </c:pt>
                <c:pt idx="116">
                  <c:v>0.13257861845597646</c:v>
                </c:pt>
                <c:pt idx="117">
                  <c:v>9.0618884618123577E-2</c:v>
                </c:pt>
                <c:pt idx="118">
                  <c:v>4.9298325157829496E-2</c:v>
                </c:pt>
                <c:pt idx="119">
                  <c:v>6.2497495913724187E-2</c:v>
                </c:pt>
                <c:pt idx="120">
                  <c:v>4.6061428571428573E-2</c:v>
                </c:pt>
                <c:pt idx="121">
                  <c:v>4.6061428571428573E-2</c:v>
                </c:pt>
                <c:pt idx="122">
                  <c:v>4.6061428571428573E-2</c:v>
                </c:pt>
                <c:pt idx="123">
                  <c:v>0.10525471560846561</c:v>
                </c:pt>
                <c:pt idx="124">
                  <c:v>0.10334525473630313</c:v>
                </c:pt>
                <c:pt idx="125">
                  <c:v>0.10525471560846561</c:v>
                </c:pt>
                <c:pt idx="126">
                  <c:v>0.10334525473630313</c:v>
                </c:pt>
                <c:pt idx="127">
                  <c:v>0.10334525473630313</c:v>
                </c:pt>
                <c:pt idx="128">
                  <c:v>0.10525471560846561</c:v>
                </c:pt>
                <c:pt idx="129">
                  <c:v>4.6061428571428573E-2</c:v>
                </c:pt>
                <c:pt idx="130">
                  <c:v>4.6061428571428573E-2</c:v>
                </c:pt>
                <c:pt idx="131">
                  <c:v>4.6061428571428573E-2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E5-4751-8B88-B2B1C79E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87280"/>
        <c:axId val="163786800"/>
      </c:scatterChart>
      <c:valAx>
        <c:axId val="163787280"/>
        <c:scaling>
          <c:orientation val="minMax"/>
          <c:max val="45291"/>
          <c:min val="412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786800"/>
        <c:crosses val="autoZero"/>
        <c:crossBetween val="midCat"/>
      </c:valAx>
      <c:valAx>
        <c:axId val="16378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787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1785398652579595E-2"/>
          <c:y val="0.20333333333333334"/>
          <c:w val="0.86633080813223051"/>
          <c:h val="0.708752329871809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Foglio1!$M$1</c:f>
              <c:strCache>
                <c:ptCount val="1"/>
                <c:pt idx="0">
                  <c:v>Q_available-Q_demand </c:v>
                </c:pt>
              </c:strCache>
            </c:strRef>
          </c:tx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Foglio1!$A$3:$A$134</c:f>
              <c:numCache>
                <c:formatCode>mmm\-yy</c:formatCode>
                <c:ptCount val="132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</c:numCache>
            </c:numRef>
          </c:xVal>
          <c:yVal>
            <c:numRef>
              <c:f>Foglio1!$M$3:$M$134</c:f>
              <c:numCache>
                <c:formatCode>General</c:formatCode>
                <c:ptCount val="132"/>
                <c:pt idx="0">
                  <c:v>5.7318797112525957</c:v>
                </c:pt>
                <c:pt idx="1">
                  <c:v>6.7175021846633198</c:v>
                </c:pt>
                <c:pt idx="2">
                  <c:v>15.043219798451792</c:v>
                </c:pt>
                <c:pt idx="3">
                  <c:v>17.865649227006504</c:v>
                </c:pt>
                <c:pt idx="4">
                  <c:v>10.1393977483316</c:v>
                </c:pt>
                <c:pt idx="5">
                  <c:v>5.887594386305488</c:v>
                </c:pt>
                <c:pt idx="6">
                  <c:v>2.4307147163494891</c:v>
                </c:pt>
                <c:pt idx="7">
                  <c:v>1.9657975061436976</c:v>
                </c:pt>
                <c:pt idx="8">
                  <c:v>1.5621838278166065</c:v>
                </c:pt>
                <c:pt idx="9">
                  <c:v>0.53580501077835807</c:v>
                </c:pt>
                <c:pt idx="10">
                  <c:v>32.001458975920599</c:v>
                </c:pt>
                <c:pt idx="11">
                  <c:v>31.873722822843714</c:v>
                </c:pt>
                <c:pt idx="12">
                  <c:v>8.3346665028947857</c:v>
                </c:pt>
                <c:pt idx="13">
                  <c:v>13.482514214544889</c:v>
                </c:pt>
                <c:pt idx="14">
                  <c:v>10.007181418968283</c:v>
                </c:pt>
                <c:pt idx="15">
                  <c:v>14.91281273470967</c:v>
                </c:pt>
                <c:pt idx="16">
                  <c:v>19.363478785946135</c:v>
                </c:pt>
                <c:pt idx="17">
                  <c:v>4.3197782548995818</c:v>
                </c:pt>
                <c:pt idx="18">
                  <c:v>2.7310875441838038</c:v>
                </c:pt>
                <c:pt idx="19">
                  <c:v>1.2734976295034004</c:v>
                </c:pt>
                <c:pt idx="20">
                  <c:v>1.9875582605262039</c:v>
                </c:pt>
                <c:pt idx="21">
                  <c:v>0.91677658331562595</c:v>
                </c:pt>
                <c:pt idx="22">
                  <c:v>-8.1570113029084484E-2</c:v>
                </c:pt>
                <c:pt idx="23">
                  <c:v>-0.56650781433451369</c:v>
                </c:pt>
                <c:pt idx="24">
                  <c:v>5.7371714935555254</c:v>
                </c:pt>
                <c:pt idx="25">
                  <c:v>18.269912533774512</c:v>
                </c:pt>
                <c:pt idx="26">
                  <c:v>35.536029269110045</c:v>
                </c:pt>
                <c:pt idx="27">
                  <c:v>16.386481150959206</c:v>
                </c:pt>
                <c:pt idx="28">
                  <c:v>5.084148259725608</c:v>
                </c:pt>
                <c:pt idx="29">
                  <c:v>1.2876139827852313</c:v>
                </c:pt>
                <c:pt idx="30">
                  <c:v>1.704598634604733</c:v>
                </c:pt>
                <c:pt idx="31">
                  <c:v>0.78197670295248578</c:v>
                </c:pt>
                <c:pt idx="32">
                  <c:v>0.77622972267638335</c:v>
                </c:pt>
                <c:pt idx="33">
                  <c:v>5.5397506531403833</c:v>
                </c:pt>
                <c:pt idx="34">
                  <c:v>0.51084509128430833</c:v>
                </c:pt>
                <c:pt idx="35">
                  <c:v>3.4685171100068413E-4</c:v>
                </c:pt>
                <c:pt idx="36">
                  <c:v>1.0989651540476462</c:v>
                </c:pt>
                <c:pt idx="37">
                  <c:v>3.948719053188114</c:v>
                </c:pt>
                <c:pt idx="38">
                  <c:v>17.832130622288251</c:v>
                </c:pt>
                <c:pt idx="39">
                  <c:v>11.159321584922283</c:v>
                </c:pt>
                <c:pt idx="40">
                  <c:v>13.479562120218372</c:v>
                </c:pt>
                <c:pt idx="41">
                  <c:v>6.895173911795073</c:v>
                </c:pt>
                <c:pt idx="42">
                  <c:v>6.2902048217950979</c:v>
                </c:pt>
                <c:pt idx="43">
                  <c:v>4.4756868556791938</c:v>
                </c:pt>
                <c:pt idx="44">
                  <c:v>9.5147370087517089</c:v>
                </c:pt>
                <c:pt idx="45">
                  <c:v>9.9855943560310898</c:v>
                </c:pt>
                <c:pt idx="46">
                  <c:v>9.4180701356974303</c:v>
                </c:pt>
                <c:pt idx="47">
                  <c:v>5.0771467563387223</c:v>
                </c:pt>
                <c:pt idx="48">
                  <c:v>17.118742531557789</c:v>
                </c:pt>
                <c:pt idx="49">
                  <c:v>49.39753296871578</c:v>
                </c:pt>
                <c:pt idx="50">
                  <c:v>31.294122699013791</c:v>
                </c:pt>
                <c:pt idx="51">
                  <c:v>14.650234156635914</c:v>
                </c:pt>
                <c:pt idx="52">
                  <c:v>8.6840500023659946</c:v>
                </c:pt>
                <c:pt idx="53">
                  <c:v>4.4293821240001936</c:v>
                </c:pt>
                <c:pt idx="54">
                  <c:v>4.0043192699111998</c:v>
                </c:pt>
                <c:pt idx="55">
                  <c:v>2.9865957890768402</c:v>
                </c:pt>
                <c:pt idx="56">
                  <c:v>1.8468115544447263</c:v>
                </c:pt>
                <c:pt idx="57">
                  <c:v>0.83984694838238105</c:v>
                </c:pt>
                <c:pt idx="58">
                  <c:v>8.4272896679977922</c:v>
                </c:pt>
                <c:pt idx="59">
                  <c:v>17.149438770944272</c:v>
                </c:pt>
                <c:pt idx="60">
                  <c:v>7.8952758636754856</c:v>
                </c:pt>
                <c:pt idx="61">
                  <c:v>12.538037035767188</c:v>
                </c:pt>
                <c:pt idx="62">
                  <c:v>48.569890955495381</c:v>
                </c:pt>
                <c:pt idx="63">
                  <c:v>35.570328660640726</c:v>
                </c:pt>
                <c:pt idx="64">
                  <c:v>37.295603989791459</c:v>
                </c:pt>
                <c:pt idx="65">
                  <c:v>22.249306158670191</c:v>
                </c:pt>
                <c:pt idx="66">
                  <c:v>13.135809979648904</c:v>
                </c:pt>
                <c:pt idx="67">
                  <c:v>10.502618508237274</c:v>
                </c:pt>
                <c:pt idx="68">
                  <c:v>9.7492854735523728</c:v>
                </c:pt>
                <c:pt idx="69">
                  <c:v>9.5951158631131381</c:v>
                </c:pt>
                <c:pt idx="70">
                  <c:v>10.678651244344321</c:v>
                </c:pt>
                <c:pt idx="71">
                  <c:v>12.188115363830541</c:v>
                </c:pt>
                <c:pt idx="72">
                  <c:v>10.660604767136297</c:v>
                </c:pt>
                <c:pt idx="73">
                  <c:v>14.589714659769852</c:v>
                </c:pt>
                <c:pt idx="74">
                  <c:v>7.7229220970156556</c:v>
                </c:pt>
                <c:pt idx="75">
                  <c:v>12.039313012806693</c:v>
                </c:pt>
                <c:pt idx="76">
                  <c:v>21.329884733501892</c:v>
                </c:pt>
                <c:pt idx="77">
                  <c:v>6.6137926293305069</c:v>
                </c:pt>
                <c:pt idx="78">
                  <c:v>5.0230363030223701</c:v>
                </c:pt>
                <c:pt idx="79">
                  <c:v>5.7477766210424841</c:v>
                </c:pt>
                <c:pt idx="80">
                  <c:v>4.8881037928958859</c:v>
                </c:pt>
                <c:pt idx="81">
                  <c:v>4.4970800052072271</c:v>
                </c:pt>
                <c:pt idx="82">
                  <c:v>6.1203599870297465</c:v>
                </c:pt>
                <c:pt idx="83">
                  <c:v>6.7639270224348182</c:v>
                </c:pt>
                <c:pt idx="84">
                  <c:v>4.5085054866565937</c:v>
                </c:pt>
                <c:pt idx="85">
                  <c:v>2.6246901099892042</c:v>
                </c:pt>
                <c:pt idx="86">
                  <c:v>11.098398708729663</c:v>
                </c:pt>
                <c:pt idx="87">
                  <c:v>13.791577271602723</c:v>
                </c:pt>
                <c:pt idx="88">
                  <c:v>4.2817958038388673</c:v>
                </c:pt>
                <c:pt idx="89">
                  <c:v>-0.66052106639221486</c:v>
                </c:pt>
                <c:pt idx="90">
                  <c:v>-1.2395600392093977</c:v>
                </c:pt>
                <c:pt idx="91">
                  <c:v>-1.4878699944903295</c:v>
                </c:pt>
                <c:pt idx="92">
                  <c:v>-0.96288780666795382</c:v>
                </c:pt>
                <c:pt idx="93">
                  <c:v>0.31106911161330725</c:v>
                </c:pt>
                <c:pt idx="94">
                  <c:v>1.5648291897118714E-3</c:v>
                </c:pt>
                <c:pt idx="95">
                  <c:v>5.1245717155311281</c:v>
                </c:pt>
                <c:pt idx="96">
                  <c:v>12.129462259657066</c:v>
                </c:pt>
                <c:pt idx="97">
                  <c:v>17.452845542589188</c:v>
                </c:pt>
                <c:pt idx="98">
                  <c:v>6.9277724482152561</c:v>
                </c:pt>
                <c:pt idx="99">
                  <c:v>9.261852811567147</c:v>
                </c:pt>
                <c:pt idx="100">
                  <c:v>9.1064282706977533</c:v>
                </c:pt>
                <c:pt idx="101">
                  <c:v>4.7743368729679672</c:v>
                </c:pt>
                <c:pt idx="102">
                  <c:v>5.4201501964045775</c:v>
                </c:pt>
                <c:pt idx="103">
                  <c:v>1.1387844791135302</c:v>
                </c:pt>
                <c:pt idx="104">
                  <c:v>0.83621443871386736</c:v>
                </c:pt>
                <c:pt idx="105">
                  <c:v>11.273136394205935</c:v>
                </c:pt>
                <c:pt idx="106">
                  <c:v>37.614040682524404</c:v>
                </c:pt>
                <c:pt idx="107">
                  <c:v>37.044416257852269</c:v>
                </c:pt>
                <c:pt idx="108">
                  <c:v>10.498626498316465</c:v>
                </c:pt>
                <c:pt idx="109">
                  <c:v>5.3821500899586185</c:v>
                </c:pt>
                <c:pt idx="110">
                  <c:v>17.584266715087654</c:v>
                </c:pt>
                <c:pt idx="111">
                  <c:v>17.040803340323951</c:v>
                </c:pt>
                <c:pt idx="112">
                  <c:v>15.84041883036932</c:v>
                </c:pt>
                <c:pt idx="113">
                  <c:v>11.844135906484489</c:v>
                </c:pt>
                <c:pt idx="114">
                  <c:v>4.8126500075085286</c:v>
                </c:pt>
                <c:pt idx="115">
                  <c:v>3.2068485820977322</c:v>
                </c:pt>
                <c:pt idx="116">
                  <c:v>2.2749240117979341</c:v>
                </c:pt>
                <c:pt idx="117">
                  <c:v>2.6702732812536882</c:v>
                </c:pt>
                <c:pt idx="118">
                  <c:v>-0.44029457508061454</c:v>
                </c:pt>
                <c:pt idx="119">
                  <c:v>-1.3622565113074649</c:v>
                </c:pt>
                <c:pt idx="120">
                  <c:v>6.242317537282676</c:v>
                </c:pt>
                <c:pt idx="121">
                  <c:v>4.9938931573467178</c:v>
                </c:pt>
                <c:pt idx="122">
                  <c:v>16.033416486932602</c:v>
                </c:pt>
                <c:pt idx="123">
                  <c:v>21.113644676412594</c:v>
                </c:pt>
                <c:pt idx="124">
                  <c:v>46.618752824673415</c:v>
                </c:pt>
                <c:pt idx="125">
                  <c:v>29.746777221581308</c:v>
                </c:pt>
                <c:pt idx="126">
                  <c:v>8.6001851399932541</c:v>
                </c:pt>
                <c:pt idx="127">
                  <c:v>7.237748954007504</c:v>
                </c:pt>
                <c:pt idx="128">
                  <c:v>5.4727961143011363</c:v>
                </c:pt>
                <c:pt idx="129">
                  <c:v>5.39381263346396</c:v>
                </c:pt>
                <c:pt idx="130">
                  <c:v>4.4468037022244919</c:v>
                </c:pt>
                <c:pt idx="131">
                  <c:v>5.9352795112483738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BB0-44A0-807F-1BC9031AB23D}"/>
            </c:ext>
          </c:extLst>
        </c:ser>
        <c:ser>
          <c:idx val="1"/>
          <c:order val="1"/>
          <c:tx>
            <c:strRef>
              <c:f>Foglio1!$O$1</c:f>
              <c:strCache>
                <c:ptCount val="1"/>
                <c:pt idx="0">
                  <c:v>Q_available-Q_demand +wwtp</c:v>
                </c:pt>
              </c:strCache>
            </c:strRef>
          </c:tx>
          <c:xVal>
            <c:numRef>
              <c:f>Foglio1!$A$3:$A$134</c:f>
              <c:numCache>
                <c:formatCode>mmm\-yy</c:formatCode>
                <c:ptCount val="132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</c:numCache>
            </c:numRef>
          </c:xVal>
          <c:yVal>
            <c:numRef>
              <c:f>Foglio1!$O$3:$O$134</c:f>
              <c:numCache>
                <c:formatCode>General</c:formatCode>
                <c:ptCount val="132"/>
                <c:pt idx="0">
                  <c:v>6.0042420824443523</c:v>
                </c:pt>
                <c:pt idx="1">
                  <c:v>7.0372949880694042</c:v>
                </c:pt>
                <c:pt idx="2">
                  <c:v>15.422454579477778</c:v>
                </c:pt>
                <c:pt idx="3">
                  <c:v>18.201175027546626</c:v>
                </c:pt>
                <c:pt idx="4">
                  <c:v>10.480713645882377</c:v>
                </c:pt>
                <c:pt idx="5">
                  <c:v>6.2090091239598086</c:v>
                </c:pt>
                <c:pt idx="6">
                  <c:v>2.7376403062539096</c:v>
                </c:pt>
                <c:pt idx="7">
                  <c:v>2.2755060774922642</c:v>
                </c:pt>
                <c:pt idx="8">
                  <c:v>1.8635796129246311</c:v>
                </c:pt>
                <c:pt idx="9">
                  <c:v>0.83091109090081927</c:v>
                </c:pt>
                <c:pt idx="10">
                  <c:v>32.279019016429856</c:v>
                </c:pt>
                <c:pt idx="11">
                  <c:v>32.143389554847893</c:v>
                </c:pt>
                <c:pt idx="12">
                  <c:v>8.6070288740865415</c:v>
                </c:pt>
                <c:pt idx="13">
                  <c:v>13.802307017950973</c:v>
                </c:pt>
                <c:pt idx="14">
                  <c:v>10.386416199994269</c:v>
                </c:pt>
                <c:pt idx="15">
                  <c:v>15.248338535249793</c:v>
                </c:pt>
                <c:pt idx="16">
                  <c:v>19.70479468349691</c:v>
                </c:pt>
                <c:pt idx="17">
                  <c:v>4.6411929925539024</c:v>
                </c:pt>
                <c:pt idx="18">
                  <c:v>3.0380131340882244</c:v>
                </c:pt>
                <c:pt idx="19">
                  <c:v>1.5832062008519667</c:v>
                </c:pt>
                <c:pt idx="20">
                  <c:v>2.2889540456342283</c:v>
                </c:pt>
                <c:pt idx="21">
                  <c:v>1.211882663438087</c:v>
                </c:pt>
                <c:pt idx="22">
                  <c:v>0.19598992748017477</c:v>
                </c:pt>
                <c:pt idx="23">
                  <c:v>-0.29684108233033207</c:v>
                </c:pt>
                <c:pt idx="24">
                  <c:v>6.009533864747282</c:v>
                </c:pt>
                <c:pt idx="25">
                  <c:v>18.589705337180597</c:v>
                </c:pt>
                <c:pt idx="26">
                  <c:v>35.915264050136031</c:v>
                </c:pt>
                <c:pt idx="27">
                  <c:v>16.722006951499328</c:v>
                </c:pt>
                <c:pt idx="28">
                  <c:v>5.4254641572763846</c:v>
                </c:pt>
                <c:pt idx="29">
                  <c:v>1.6090287204395524</c:v>
                </c:pt>
                <c:pt idx="30">
                  <c:v>2.0115242245091536</c:v>
                </c:pt>
                <c:pt idx="31">
                  <c:v>1.0916852743010521</c:v>
                </c:pt>
                <c:pt idx="32">
                  <c:v>1.0776255077844081</c:v>
                </c:pt>
                <c:pt idx="33">
                  <c:v>5.8348567332628445</c:v>
                </c:pt>
                <c:pt idx="34">
                  <c:v>0.78840513179356764</c:v>
                </c:pt>
                <c:pt idx="35">
                  <c:v>0.2700135837151823</c:v>
                </c:pt>
                <c:pt idx="36">
                  <c:v>1.3713275252394024</c:v>
                </c:pt>
                <c:pt idx="37">
                  <c:v>4.2685118565941984</c:v>
                </c:pt>
                <c:pt idx="38">
                  <c:v>18.211365403314236</c:v>
                </c:pt>
                <c:pt idx="39">
                  <c:v>11.494847385462407</c:v>
                </c:pt>
                <c:pt idx="40">
                  <c:v>13.820878017769148</c:v>
                </c:pt>
                <c:pt idx="41">
                  <c:v>7.2165886494493936</c:v>
                </c:pt>
                <c:pt idx="42">
                  <c:v>6.5971304116995189</c:v>
                </c:pt>
                <c:pt idx="43">
                  <c:v>4.7853954270277601</c:v>
                </c:pt>
                <c:pt idx="44">
                  <c:v>9.8161327938597331</c:v>
                </c:pt>
                <c:pt idx="45">
                  <c:v>10.28070043615355</c:v>
                </c:pt>
                <c:pt idx="46">
                  <c:v>9.6956301762066897</c:v>
                </c:pt>
                <c:pt idx="47">
                  <c:v>5.3468134883429039</c:v>
                </c:pt>
                <c:pt idx="48">
                  <c:v>17.391104902749547</c:v>
                </c:pt>
                <c:pt idx="49">
                  <c:v>49.717325772121868</c:v>
                </c:pt>
                <c:pt idx="50">
                  <c:v>31.673357480039776</c:v>
                </c:pt>
                <c:pt idx="51">
                  <c:v>14.985759957176038</c:v>
                </c:pt>
                <c:pt idx="52">
                  <c:v>9.0253658999167712</c:v>
                </c:pt>
                <c:pt idx="53">
                  <c:v>4.7507968616545142</c:v>
                </c:pt>
                <c:pt idx="54">
                  <c:v>4.3112448598156199</c:v>
                </c:pt>
                <c:pt idx="55">
                  <c:v>3.2963043604254065</c:v>
                </c:pt>
                <c:pt idx="56">
                  <c:v>2.148207339552751</c:v>
                </c:pt>
                <c:pt idx="57">
                  <c:v>1.1349530285048421</c:v>
                </c:pt>
                <c:pt idx="58">
                  <c:v>8.7048497085070515</c:v>
                </c:pt>
                <c:pt idx="59">
                  <c:v>17.419105502948455</c:v>
                </c:pt>
                <c:pt idx="60">
                  <c:v>8.1676382348672423</c:v>
                </c:pt>
                <c:pt idx="61">
                  <c:v>12.857829839173272</c:v>
                </c:pt>
                <c:pt idx="62">
                  <c:v>48.949125736521367</c:v>
                </c:pt>
                <c:pt idx="63">
                  <c:v>35.905854461180851</c:v>
                </c:pt>
                <c:pt idx="64">
                  <c:v>37.636919887342238</c:v>
                </c:pt>
                <c:pt idx="65">
                  <c:v>22.570720896324513</c:v>
                </c:pt>
                <c:pt idx="66">
                  <c:v>13.442735569553324</c:v>
                </c:pt>
                <c:pt idx="67">
                  <c:v>10.812327079585842</c:v>
                </c:pt>
                <c:pt idx="68">
                  <c:v>10.050681258660397</c:v>
                </c:pt>
                <c:pt idx="69">
                  <c:v>9.8902219432355984</c:v>
                </c:pt>
                <c:pt idx="70">
                  <c:v>10.95621128485358</c:v>
                </c:pt>
                <c:pt idx="71">
                  <c:v>12.457782095834721</c:v>
                </c:pt>
                <c:pt idx="72">
                  <c:v>10.923122734952903</c:v>
                </c:pt>
                <c:pt idx="73">
                  <c:v>14.858081216896174</c:v>
                </c:pt>
                <c:pt idx="74">
                  <c:v>8.064136208052096</c:v>
                </c:pt>
                <c:pt idx="75">
                  <c:v>12.324761676965643</c:v>
                </c:pt>
                <c:pt idx="76">
                  <c:v>21.67106412231611</c:v>
                </c:pt>
                <c:pt idx="77">
                  <c:v>6.8961223698783467</c:v>
                </c:pt>
                <c:pt idx="78">
                  <c:v>5.3313910810614979</c:v>
                </c:pt>
                <c:pt idx="79">
                  <c:v>6.0156073222073587</c:v>
                </c:pt>
                <c:pt idx="80">
                  <c:v>5.1750606312446514</c:v>
                </c:pt>
                <c:pt idx="81">
                  <c:v>4.7716409137720417</c:v>
                </c:pt>
                <c:pt idx="82">
                  <c:v>6.4291480367982654</c:v>
                </c:pt>
                <c:pt idx="83">
                  <c:v>7.0366727148257979</c:v>
                </c:pt>
                <c:pt idx="84">
                  <c:v>4.7567636118432723</c:v>
                </c:pt>
                <c:pt idx="85">
                  <c:v>2.8671486777973141</c:v>
                </c:pt>
                <c:pt idx="86">
                  <c:v>11.388543221311801</c:v>
                </c:pt>
                <c:pt idx="87">
                  <c:v>14.107180859565686</c:v>
                </c:pt>
                <c:pt idx="88">
                  <c:v>4.6135747576919135</c:v>
                </c:pt>
                <c:pt idx="89">
                  <c:v>-0.42236959069777041</c:v>
                </c:pt>
                <c:pt idx="90">
                  <c:v>-1.0227336223187167</c:v>
                </c:pt>
                <c:pt idx="91">
                  <c:v>-1.2405883384643439</c:v>
                </c:pt>
                <c:pt idx="92">
                  <c:v>-0.72239639077289208</c:v>
                </c:pt>
                <c:pt idx="93">
                  <c:v>0.58017065077848051</c:v>
                </c:pt>
                <c:pt idx="94">
                  <c:v>0.24979527382705755</c:v>
                </c:pt>
                <c:pt idx="95">
                  <c:v>5.398530585565477</c:v>
                </c:pt>
                <c:pt idx="96">
                  <c:v>12.364395032021164</c:v>
                </c:pt>
                <c:pt idx="97">
                  <c:v>17.689662775558766</c:v>
                </c:pt>
                <c:pt idx="98">
                  <c:v>7.2012069846922575</c:v>
                </c:pt>
                <c:pt idx="99">
                  <c:v>9.5344593412739371</c:v>
                </c:pt>
                <c:pt idx="100">
                  <c:v>9.409893632480907</c:v>
                </c:pt>
                <c:pt idx="101">
                  <c:v>4.9529951725435843</c:v>
                </c:pt>
                <c:pt idx="102">
                  <c:v>5.6339113971214232</c:v>
                </c:pt>
                <c:pt idx="103">
                  <c:v>1.3141213406726699</c:v>
                </c:pt>
                <c:pt idx="104">
                  <c:v>1.0766370612061513</c:v>
                </c:pt>
                <c:pt idx="105">
                  <c:v>11.465179346621555</c:v>
                </c:pt>
                <c:pt idx="106">
                  <c:v>37.835390894715765</c:v>
                </c:pt>
                <c:pt idx="107">
                  <c:v>37.260503474100773</c:v>
                </c:pt>
                <c:pt idx="108">
                  <c:v>10.698427218895915</c:v>
                </c:pt>
                <c:pt idx="109">
                  <c:v>5.5689465515988301</c:v>
                </c:pt>
                <c:pt idx="110">
                  <c:v>17.85302322550432</c:v>
                </c:pt>
                <c:pt idx="111">
                  <c:v>17.272095706257591</c:v>
                </c:pt>
                <c:pt idx="112">
                  <c:v>16.110291725567947</c:v>
                </c:pt>
                <c:pt idx="113">
                  <c:v>11.989066257082483</c:v>
                </c:pt>
                <c:pt idx="114">
                  <c:v>4.9704426495709537</c:v>
                </c:pt>
                <c:pt idx="115">
                  <c:v>3.3673652618319019</c:v>
                </c:pt>
                <c:pt idx="116">
                  <c:v>2.448963604776329</c:v>
                </c:pt>
                <c:pt idx="117">
                  <c:v>2.8657434663455339</c:v>
                </c:pt>
                <c:pt idx="118">
                  <c:v>-0.30619438700191082</c:v>
                </c:pt>
                <c:pt idx="119">
                  <c:v>-1.1849184083355415</c:v>
                </c:pt>
                <c:pt idx="120">
                  <c:v>6.4117384368869175</c:v>
                </c:pt>
                <c:pt idx="121">
                  <c:v>5.1587806718143101</c:v>
                </c:pt>
                <c:pt idx="122">
                  <c:v>16.237517302718146</c:v>
                </c:pt>
                <c:pt idx="123">
                  <c:v>21.312827341825404</c:v>
                </c:pt>
                <c:pt idx="124">
                  <c:v>46.834987143669828</c:v>
                </c:pt>
                <c:pt idx="125">
                  <c:v>29.890919269227911</c:v>
                </c:pt>
                <c:pt idx="126">
                  <c:v>8.7341797123125495</c:v>
                </c:pt>
                <c:pt idx="127">
                  <c:v>7.3388300448639852</c:v>
                </c:pt>
                <c:pt idx="128">
                  <c:v>5.6210655249878645</c:v>
                </c:pt>
                <c:pt idx="129">
                  <c:v>5.5378359309549996</c:v>
                </c:pt>
                <c:pt idx="130">
                  <c:v>4.5670527377183188</c:v>
                </c:pt>
                <c:pt idx="131">
                  <c:v>6.0529790123497778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BB0-44A0-807F-1BC9031AB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87280"/>
        <c:axId val="163786800"/>
      </c:scatterChart>
      <c:valAx>
        <c:axId val="163787280"/>
        <c:scaling>
          <c:orientation val="minMax"/>
          <c:max val="45291"/>
          <c:min val="412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786800"/>
        <c:crosses val="autoZero"/>
        <c:crossBetween val="midCat"/>
      </c:valAx>
      <c:valAx>
        <c:axId val="16378680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787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1785398652579595E-2"/>
          <c:y val="0.20333333333333334"/>
          <c:w val="0.90076589301459598"/>
          <c:h val="0.70875232987180947"/>
        </c:manualLayout>
      </c:layout>
      <c:scatterChart>
        <c:scatterStyle val="smoothMarker"/>
        <c:varyColors val="0"/>
        <c:ser>
          <c:idx val="2"/>
          <c:order val="0"/>
          <c:tx>
            <c:strRef>
              <c:f>Foglio1!$Q$1</c:f>
              <c:strCache>
                <c:ptCount val="1"/>
                <c:pt idx="0">
                  <c:v>INDICE POST</c:v>
                </c:pt>
              </c:strCache>
            </c:strRef>
          </c:tx>
          <c:xVal>
            <c:numRef>
              <c:f>Foglio1!$A$3:$A$134</c:f>
              <c:numCache>
                <c:formatCode>mmm\-yy</c:formatCode>
                <c:ptCount val="132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</c:numCache>
            </c:numRef>
          </c:xVal>
          <c:yVal>
            <c:numRef>
              <c:f>Foglio1!$Q$3:$Q$134</c:f>
              <c:numCache>
                <c:formatCode>0.00</c:formatCode>
                <c:ptCount val="132"/>
                <c:pt idx="0">
                  <c:v>1.0346779223971292</c:v>
                </c:pt>
                <c:pt idx="1">
                  <c:v>1.0355763516803065</c:v>
                </c:pt>
                <c:pt idx="2">
                  <c:v>1.0202242108060529</c:v>
                </c:pt>
                <c:pt idx="3">
                  <c:v>1.0108943125882297</c:v>
                </c:pt>
                <c:pt idx="4">
                  <c:v>1.0206964253178641</c:v>
                </c:pt>
                <c:pt idx="5">
                  <c:v>1.0309285506809678</c:v>
                </c:pt>
                <c:pt idx="6">
                  <c:v>1.0645368630009338</c:v>
                </c:pt>
                <c:pt idx="7">
                  <c:v>1.0821915798419619</c:v>
                </c:pt>
                <c:pt idx="8">
                  <c:v>1.0945500059759219</c:v>
                </c:pt>
                <c:pt idx="9">
                  <c:v>1.3541391282115691</c:v>
                </c:pt>
                <c:pt idx="10">
                  <c:v>1.0072236044790968</c:v>
                </c:pt>
                <c:pt idx="11">
                  <c:v>1.0062495963864988</c:v>
                </c:pt>
                <c:pt idx="12">
                  <c:v>1.0232252988769939</c:v>
                </c:pt>
                <c:pt idx="13">
                  <c:v>1.0172013027779734</c:v>
                </c:pt>
                <c:pt idx="14">
                  <c:v>1.0313847963467677</c:v>
                </c:pt>
                <c:pt idx="15">
                  <c:v>1.0136730699173491</c:v>
                </c:pt>
                <c:pt idx="16">
                  <c:v>1.012224420497003</c:v>
                </c:pt>
                <c:pt idx="17">
                  <c:v>1.0394040384561469</c:v>
                </c:pt>
                <c:pt idx="18">
                  <c:v>1.063291194535068</c:v>
                </c:pt>
                <c:pt idx="19">
                  <c:v>1.1067798040152386</c:v>
                </c:pt>
                <c:pt idx="20">
                  <c:v>1.0797798872511202</c:v>
                </c:pt>
                <c:pt idx="21">
                  <c:v>1.2421523142411748</c:v>
                </c:pt>
                <c:pt idx="22">
                  <c:v>41.652031061167712</c:v>
                </c:pt>
                <c:pt idx="23">
                  <c:v>-0.60310689932311456</c:v>
                </c:pt>
                <c:pt idx="24">
                  <c:v>1.0351342852801761</c:v>
                </c:pt>
                <c:pt idx="25">
                  <c:v>1.0141780229170907</c:v>
                </c:pt>
                <c:pt idx="26">
                  <c:v>1.0091242110583807</c:v>
                </c:pt>
                <c:pt idx="27">
                  <c:v>1.011974499923288</c:v>
                </c:pt>
                <c:pt idx="28">
                  <c:v>1.0399961760962526</c:v>
                </c:pt>
                <c:pt idx="29">
                  <c:v>1.1244394154765414</c:v>
                </c:pt>
                <c:pt idx="30">
                  <c:v>1.0827627371525996</c:v>
                </c:pt>
                <c:pt idx="31">
                  <c:v>1.1796428834046739</c:v>
                </c:pt>
                <c:pt idx="32">
                  <c:v>1.1805006377062877</c:v>
                </c:pt>
                <c:pt idx="33">
                  <c:v>1.0445852183904316</c:v>
                </c:pt>
                <c:pt idx="34">
                  <c:v>1.3464108634947864</c:v>
                </c:pt>
                <c:pt idx="35">
                  <c:v>3.0949793730480999</c:v>
                </c:pt>
                <c:pt idx="36">
                  <c:v>1.156792724989627</c:v>
                </c:pt>
                <c:pt idx="37">
                  <c:v>1.0603784845479467</c:v>
                </c:pt>
                <c:pt idx="38">
                  <c:v>1.0186357407676767</c:v>
                </c:pt>
                <c:pt idx="39">
                  <c:v>1.0186661182268841</c:v>
                </c:pt>
                <c:pt idx="40">
                  <c:v>1.0153673491159925</c:v>
                </c:pt>
                <c:pt idx="41">
                  <c:v>1.0257640199066409</c:v>
                </c:pt>
                <c:pt idx="42">
                  <c:v>1.0269203562637232</c:v>
                </c:pt>
                <c:pt idx="43">
                  <c:v>1.0338510071686533</c:v>
                </c:pt>
                <c:pt idx="44">
                  <c:v>1.0182703875238306</c:v>
                </c:pt>
                <c:pt idx="45">
                  <c:v>1.02432335260302</c:v>
                </c:pt>
                <c:pt idx="46">
                  <c:v>1.0210653683550164</c:v>
                </c:pt>
                <c:pt idx="47">
                  <c:v>1.0345785696241221</c:v>
                </c:pt>
                <c:pt idx="48">
                  <c:v>1.0131840097414446</c:v>
                </c:pt>
                <c:pt idx="49">
                  <c:v>1.0050746444720915</c:v>
                </c:pt>
                <c:pt idx="50">
                  <c:v>1.0096228295890206</c:v>
                </c:pt>
                <c:pt idx="51">
                  <c:v>1.0136841940541426</c:v>
                </c:pt>
                <c:pt idx="52">
                  <c:v>1.0231705489797251</c:v>
                </c:pt>
                <c:pt idx="53">
                  <c:v>1.0383982683706321</c:v>
                </c:pt>
                <c:pt idx="54">
                  <c:v>1.0393782204959683</c:v>
                </c:pt>
                <c:pt idx="55">
                  <c:v>1.0510469266099058</c:v>
                </c:pt>
                <c:pt idx="56">
                  <c:v>1.0873753276281279</c:v>
                </c:pt>
                <c:pt idx="57">
                  <c:v>1.2369191915500797</c:v>
                </c:pt>
                <c:pt idx="58">
                  <c:v>1.0257782508166537</c:v>
                </c:pt>
                <c:pt idx="59">
                  <c:v>1.011545862274299</c:v>
                </c:pt>
                <c:pt idx="60">
                  <c:v>1.0236700856950391</c:v>
                </c:pt>
                <c:pt idx="61">
                  <c:v>1.0217521640990308</c:v>
                </c:pt>
                <c:pt idx="62">
                  <c:v>1.0066152400563737</c:v>
                </c:pt>
                <c:pt idx="63">
                  <c:v>1.0051870842574118</c:v>
                </c:pt>
                <c:pt idx="64">
                  <c:v>1.0060023972999541</c:v>
                </c:pt>
                <c:pt idx="65">
                  <c:v>1.0082364916613347</c:v>
                </c:pt>
                <c:pt idx="66">
                  <c:v>1.0122756298820363</c:v>
                </c:pt>
                <c:pt idx="67">
                  <c:v>1.0158701673169417</c:v>
                </c:pt>
                <c:pt idx="68">
                  <c:v>1.0163330453364972</c:v>
                </c:pt>
                <c:pt idx="69">
                  <c:v>1.0231081319807502</c:v>
                </c:pt>
                <c:pt idx="70">
                  <c:v>1.0185952461959789</c:v>
                </c:pt>
                <c:pt idx="71">
                  <c:v>1.0161671027573265</c:v>
                </c:pt>
                <c:pt idx="72">
                  <c:v>1.0189458319454769</c:v>
                </c:pt>
                <c:pt idx="73">
                  <c:v>1.0125469431111023</c:v>
                </c:pt>
                <c:pt idx="74">
                  <c:v>1.0331646268156824</c:v>
                </c:pt>
                <c:pt idx="75">
                  <c:v>1.0122292538152706</c:v>
                </c:pt>
                <c:pt idx="76">
                  <c:v>1.0110320516984845</c:v>
                </c:pt>
                <c:pt idx="77">
                  <c:v>1.018814918379124</c:v>
                </c:pt>
                <c:pt idx="78">
                  <c:v>1.0339427229791389</c:v>
                </c:pt>
                <c:pt idx="79">
                  <c:v>1.0203637785929767</c:v>
                </c:pt>
                <c:pt idx="80">
                  <c:v>1.0320586384883161</c:v>
                </c:pt>
                <c:pt idx="81">
                  <c:v>1.0413566580222029</c:v>
                </c:pt>
                <c:pt idx="82">
                  <c:v>1.04260601141083</c:v>
                </c:pt>
                <c:pt idx="83">
                  <c:v>1.0284431116458144</c:v>
                </c:pt>
                <c:pt idx="84">
                  <c:v>1.0357766268586179</c:v>
                </c:pt>
                <c:pt idx="85">
                  <c:v>1.0578338855616347</c:v>
                </c:pt>
                <c:pt idx="86">
                  <c:v>1.0219017414036728</c:v>
                </c:pt>
                <c:pt idx="87">
                  <c:v>1.0141416300614248</c:v>
                </c:pt>
                <c:pt idx="88">
                  <c:v>1.0441827247553901</c:v>
                </c:pt>
                <c:pt idx="89">
                  <c:v>-0.81236118439334071</c:v>
                </c:pt>
                <c:pt idx="90">
                  <c:v>-0.93047191668470486</c:v>
                </c:pt>
                <c:pt idx="91">
                  <c:v>-0.92007452966500614</c:v>
                </c:pt>
                <c:pt idx="92">
                  <c:v>-0.88085567468876469</c:v>
                </c:pt>
                <c:pt idx="93">
                  <c:v>1.5085055677372514</c:v>
                </c:pt>
                <c:pt idx="94">
                  <c:v>3.4038646111503086</c:v>
                </c:pt>
                <c:pt idx="95">
                  <c:v>1.0413712353370963</c:v>
                </c:pt>
                <c:pt idx="96">
                  <c:v>1.0133870517248171</c:v>
                </c:pt>
                <c:pt idx="97">
                  <c:v>1.0088735786752545</c:v>
                </c:pt>
                <c:pt idx="98">
                  <c:v>1.029676567961751</c:v>
                </c:pt>
                <c:pt idx="99">
                  <c:v>1.0146397396462512</c:v>
                </c:pt>
                <c:pt idx="100">
                  <c:v>1.0176409891288161</c:v>
                </c:pt>
                <c:pt idx="101">
                  <c:v>1.0061944935532106</c:v>
                </c:pt>
                <c:pt idx="102">
                  <c:v>1.0140288547501237</c:v>
                </c:pt>
                <c:pt idx="103">
                  <c:v>1.0202275530280791</c:v>
                </c:pt>
                <c:pt idx="104">
                  <c:v>1.0888135940772294</c:v>
                </c:pt>
                <c:pt idx="105">
                  <c:v>1.0126357897083293</c:v>
                </c:pt>
                <c:pt idx="106">
                  <c:v>1.0046544957074954</c:v>
                </c:pt>
                <c:pt idx="107">
                  <c:v>1.0040951887070251</c:v>
                </c:pt>
                <c:pt idx="108">
                  <c:v>1.0125925930447601</c:v>
                </c:pt>
                <c:pt idx="109">
                  <c:v>1.0259265934255439</c:v>
                </c:pt>
                <c:pt idx="110">
                  <c:v>1.0108784205067121</c:v>
                </c:pt>
                <c:pt idx="111">
                  <c:v>1.005515561868453</c:v>
                </c:pt>
                <c:pt idx="112">
                  <c:v>1.0077217504037537</c:v>
                </c:pt>
                <c:pt idx="113">
                  <c:v>0.99983410750989754</c:v>
                </c:pt>
                <c:pt idx="114">
                  <c:v>1.0039665100461024</c:v>
                </c:pt>
                <c:pt idx="115">
                  <c:v>1.0053219301070839</c:v>
                </c:pt>
                <c:pt idx="116">
                  <c:v>1.0172215697716791</c:v>
                </c:pt>
                <c:pt idx="117">
                  <c:v>1.0379773255072471</c:v>
                </c:pt>
                <c:pt idx="118">
                  <c:v>-0.78311335994240072</c:v>
                </c:pt>
                <c:pt idx="119">
                  <c:v>-0.91164469282530003</c:v>
                </c:pt>
                <c:pt idx="120">
                  <c:v>1.0196170542046932</c:v>
                </c:pt>
                <c:pt idx="121">
                  <c:v>1.0235768167888195</c:v>
                </c:pt>
                <c:pt idx="122">
                  <c:v>1.0098286392160614</c:v>
                </c:pt>
                <c:pt idx="123">
                  <c:v>1.0044266174257681</c:v>
                </c:pt>
                <c:pt idx="124">
                  <c:v>1.0024161813981094</c:v>
                </c:pt>
                <c:pt idx="125">
                  <c:v>1.0013026695174372</c:v>
                </c:pt>
                <c:pt idx="126">
                  <c:v>1.0035214810764093</c:v>
                </c:pt>
                <c:pt idx="127">
                  <c:v>0.99969157678468079</c:v>
                </c:pt>
                <c:pt idx="128">
                  <c:v>1.0077114204208426</c:v>
                </c:pt>
                <c:pt idx="129">
                  <c:v>1.0180081133869039</c:v>
                </c:pt>
                <c:pt idx="130">
                  <c:v>1.0165123155854126</c:v>
                </c:pt>
                <c:pt idx="131">
                  <c:v>1.0119769251160815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2A-4BD0-891F-AB347CBEA272}"/>
            </c:ext>
          </c:extLst>
        </c:ser>
        <c:ser>
          <c:idx val="3"/>
          <c:order val="1"/>
          <c:tx>
            <c:strRef>
              <c:f>Foglio1!$P$1</c:f>
              <c:strCache>
                <c:ptCount val="1"/>
                <c:pt idx="0">
                  <c:v>INDICE PRE</c:v>
                </c:pt>
              </c:strCache>
            </c:strRef>
          </c:tx>
          <c:xVal>
            <c:numRef>
              <c:f>Foglio1!$A$3:$A$134</c:f>
              <c:numCache>
                <c:formatCode>mmm\-yy</c:formatCode>
                <c:ptCount val="132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</c:numCache>
            </c:numRef>
          </c:xVal>
          <c:yVal>
            <c:numRef>
              <c:f>Foglio1!$P$3:$P$134</c:f>
              <c:numCache>
                <c:formatCode>0.00</c:formatCode>
                <c:ptCount val="132"/>
                <c:pt idx="0">
                  <c:v>0.98774321715134772</c:v>
                </c:pt>
                <c:pt idx="1">
                  <c:v>0.9885170959284395</c:v>
                </c:pt>
                <c:pt idx="2">
                  <c:v>0.99513712086271233</c:v>
                </c:pt>
                <c:pt idx="3">
                  <c:v>0.99225919024149734</c:v>
                </c:pt>
                <c:pt idx="4">
                  <c:v>0.98745633038681846</c:v>
                </c:pt>
                <c:pt idx="5">
                  <c:v>0.97756164091451059</c:v>
                </c:pt>
                <c:pt idx="6">
                  <c:v>0.94518823860160428</c:v>
                </c:pt>
                <c:pt idx="7">
                  <c:v>0.93489950647265152</c:v>
                </c:pt>
                <c:pt idx="8">
                  <c:v>0.91752898894870472</c:v>
                </c:pt>
                <c:pt idx="9">
                  <c:v>0.87320356910893748</c:v>
                </c:pt>
                <c:pt idx="10">
                  <c:v>0.998562714743916</c:v>
                </c:pt>
                <c:pt idx="11">
                  <c:v>0.99780767274384596</c:v>
                </c:pt>
                <c:pt idx="12">
                  <c:v>0.99084617331084335</c:v>
                </c:pt>
                <c:pt idx="13">
                  <c:v>0.99363323869849607</c:v>
                </c:pt>
                <c:pt idx="14">
                  <c:v>0.99372628354845405</c:v>
                </c:pt>
                <c:pt idx="15">
                  <c:v>0.99136811731653041</c:v>
                </c:pt>
                <c:pt idx="16">
                  <c:v>0.99469121133882288</c:v>
                </c:pt>
                <c:pt idx="17">
                  <c:v>0.96742259384197027</c:v>
                </c:pt>
                <c:pt idx="18">
                  <c:v>0.95586859209105424</c:v>
                </c:pt>
                <c:pt idx="19">
                  <c:v>0.89027029835858629</c:v>
                </c:pt>
                <c:pt idx="20">
                  <c:v>0.93760092674178785</c:v>
                </c:pt>
                <c:pt idx="21">
                  <c:v>0.93967525814498942</c:v>
                </c:pt>
                <c:pt idx="22">
                  <c:v>-17.335385166128326</c:v>
                </c:pt>
                <c:pt idx="23">
                  <c:v>-1.1510023095973965</c:v>
                </c:pt>
                <c:pt idx="24">
                  <c:v>0.98822022592282055</c:v>
                </c:pt>
                <c:pt idx="25">
                  <c:v>0.99673144013275672</c:v>
                </c:pt>
                <c:pt idx="26">
                  <c:v>0.99846871375577073</c:v>
                </c:pt>
                <c:pt idx="27">
                  <c:v>0.99166930837554101</c:v>
                </c:pt>
                <c:pt idx="28">
                  <c:v>0.97457002673765769</c:v>
                </c:pt>
                <c:pt idx="29">
                  <c:v>0.8998247798628024</c:v>
                </c:pt>
                <c:pt idx="30">
                  <c:v>0.91755091033098612</c:v>
                </c:pt>
                <c:pt idx="31">
                  <c:v>0.84498094308064042</c:v>
                </c:pt>
                <c:pt idx="32">
                  <c:v>0.85033221282042082</c:v>
                </c:pt>
                <c:pt idx="33">
                  <c:v>0.9917538528153792</c:v>
                </c:pt>
                <c:pt idx="34">
                  <c:v>0.87240347979910271</c:v>
                </c:pt>
                <c:pt idx="35">
                  <c:v>3.9757217999295694E-3</c:v>
                </c:pt>
                <c:pt idx="36">
                  <c:v>0.92703958158900546</c:v>
                </c:pt>
                <c:pt idx="37">
                  <c:v>0.98093594821734631</c:v>
                </c:pt>
                <c:pt idx="38">
                  <c:v>0.99742359694758886</c:v>
                </c:pt>
                <c:pt idx="39">
                  <c:v>0.9889320336114209</c:v>
                </c:pt>
                <c:pt idx="40">
                  <c:v>0.99029216809914888</c:v>
                </c:pt>
                <c:pt idx="41">
                  <c:v>0.98007821330622047</c:v>
                </c:pt>
                <c:pt idx="42">
                  <c:v>0.9791438054815621</c:v>
                </c:pt>
                <c:pt idx="43">
                  <c:v>0.96694064974885818</c:v>
                </c:pt>
                <c:pt idx="44">
                  <c:v>0.9870052845199293</c:v>
                </c:pt>
                <c:pt idx="45">
                  <c:v>0.99492029283662997</c:v>
                </c:pt>
                <c:pt idx="46">
                  <c:v>0.9918349893231605</c:v>
                </c:pt>
                <c:pt idx="47">
                  <c:v>0.98239956198146661</c:v>
                </c:pt>
                <c:pt idx="48">
                  <c:v>0.99731651880916206</c:v>
                </c:pt>
                <c:pt idx="49">
                  <c:v>0.99860978271220302</c:v>
                </c:pt>
                <c:pt idx="50">
                  <c:v>0.99753430714742863</c:v>
                </c:pt>
                <c:pt idx="51">
                  <c:v>0.99098816784814303</c:v>
                </c:pt>
                <c:pt idx="52">
                  <c:v>0.98447689620762457</c:v>
                </c:pt>
                <c:pt idx="53">
                  <c:v>0.96814552620375005</c:v>
                </c:pt>
                <c:pt idx="54">
                  <c:v>0.96538293982124102</c:v>
                </c:pt>
                <c:pt idx="55">
                  <c:v>0.95229444308054967</c:v>
                </c:pt>
                <c:pt idx="56">
                  <c:v>0.9348154072966911</c:v>
                </c:pt>
                <c:pt idx="57">
                  <c:v>0.91530026558672173</c:v>
                </c:pt>
                <c:pt idx="58">
                  <c:v>0.99307061514409956</c:v>
                </c:pt>
                <c:pt idx="59">
                  <c:v>0.99588603020624655</c:v>
                </c:pt>
                <c:pt idx="60">
                  <c:v>0.98953424325924844</c:v>
                </c:pt>
                <c:pt idx="61">
                  <c:v>0.99633971168439595</c:v>
                </c:pt>
                <c:pt idx="62">
                  <c:v>0.99881645908947736</c:v>
                </c:pt>
                <c:pt idx="63">
                  <c:v>0.99579401434724735</c:v>
                </c:pt>
                <c:pt idx="64">
                  <c:v>0.9968793178290396</c:v>
                </c:pt>
                <c:pt idx="65">
                  <c:v>0.99387886130697523</c:v>
                </c:pt>
                <c:pt idx="66">
                  <c:v>0.98916327352868316</c:v>
                </c:pt>
                <c:pt idx="67">
                  <c:v>0.98677155645551284</c:v>
                </c:pt>
                <c:pt idx="68">
                  <c:v>0.98585565895371063</c:v>
                </c:pt>
                <c:pt idx="69">
                  <c:v>0.99258046211619744</c:v>
                </c:pt>
                <c:pt idx="70">
                  <c:v>0.992790583393652</c:v>
                </c:pt>
                <c:pt idx="71">
                  <c:v>0.99417069443498585</c:v>
                </c:pt>
                <c:pt idx="72">
                  <c:v>0.99445726804226442</c:v>
                </c:pt>
                <c:pt idx="73">
                  <c:v>0.99425832743558007</c:v>
                </c:pt>
                <c:pt idx="74">
                  <c:v>0.9894488039925009</c:v>
                </c:pt>
                <c:pt idx="75">
                  <c:v>0.98878543429994536</c:v>
                </c:pt>
                <c:pt idx="76">
                  <c:v>0.99511482236802162</c:v>
                </c:pt>
                <c:pt idx="77">
                  <c:v>0.97710426764754177</c:v>
                </c:pt>
                <c:pt idx="78">
                  <c:v>0.97414197416858161</c:v>
                </c:pt>
                <c:pt idx="79">
                  <c:v>0.97493449246671415</c:v>
                </c:pt>
                <c:pt idx="80">
                  <c:v>0.97483104155871059</c:v>
                </c:pt>
                <c:pt idx="81">
                  <c:v>0.98143684525058861</c:v>
                </c:pt>
                <c:pt idx="82">
                  <c:v>0.99253028207658778</c:v>
                </c:pt>
                <c:pt idx="83">
                  <c:v>0.98858003431672836</c:v>
                </c:pt>
                <c:pt idx="84">
                  <c:v>0.98171887152768611</c:v>
                </c:pt>
                <c:pt idx="85">
                  <c:v>0.96837884932361051</c:v>
                </c:pt>
                <c:pt idx="86">
                  <c:v>0.99586687663610918</c:v>
                </c:pt>
                <c:pt idx="87">
                  <c:v>0.99145341614142213</c:v>
                </c:pt>
                <c:pt idx="88">
                  <c:v>0.96909174428017963</c:v>
                </c:pt>
                <c:pt idx="89">
                  <c:v>-1.2704079262067114</c:v>
                </c:pt>
                <c:pt idx="90">
                  <c:v>-1.1277382305218739</c:v>
                </c:pt>
                <c:pt idx="91">
                  <c:v>-1.1034694128093407</c:v>
                </c:pt>
                <c:pt idx="92">
                  <c:v>-1.1740994271644036</c:v>
                </c:pt>
                <c:pt idx="93">
                  <c:v>0.8088128659905659</c:v>
                </c:pt>
                <c:pt idx="94">
                  <c:v>2.1323328579238743E-2</c:v>
                </c:pt>
                <c:pt idx="95">
                  <c:v>0.98852483900805854</c:v>
                </c:pt>
                <c:pt idx="96">
                  <c:v>0.9941319382378232</c:v>
                </c:pt>
                <c:pt idx="97">
                  <c:v>0.99536746200421788</c:v>
                </c:pt>
                <c:pt idx="98">
                  <c:v>0.99057907559965874</c:v>
                </c:pt>
                <c:pt idx="99">
                  <c:v>0.98562945092120557</c:v>
                </c:pt>
                <c:pt idx="100">
                  <c:v>0.98482246821957131</c:v>
                </c:pt>
                <c:pt idx="101">
                  <c:v>0.96990029357961194</c:v>
                </c:pt>
                <c:pt idx="102">
                  <c:v>0.97555469172660425</c:v>
                </c:pt>
                <c:pt idx="103">
                  <c:v>0.88410351966253176</c:v>
                </c:pt>
                <c:pt idx="104">
                  <c:v>0.84567184359723868</c:v>
                </c:pt>
                <c:pt idx="105">
                  <c:v>0.99567403438832947</c:v>
                </c:pt>
                <c:pt idx="106">
                  <c:v>0.99877691705573324</c:v>
                </c:pt>
                <c:pt idx="107">
                  <c:v>0.99827207538470963</c:v>
                </c:pt>
                <c:pt idx="108">
                  <c:v>0.99368170777122966</c:v>
                </c:pt>
                <c:pt idx="109">
                  <c:v>0.99151443741383494</c:v>
                </c:pt>
                <c:pt idx="110">
                  <c:v>0.99566082103802489</c:v>
                </c:pt>
                <c:pt idx="111">
                  <c:v>0.99205060212975782</c:v>
                </c:pt>
                <c:pt idx="112">
                  <c:v>0.99084081547291802</c:v>
                </c:pt>
                <c:pt idx="113">
                  <c:v>0.98774756927297369</c:v>
                </c:pt>
                <c:pt idx="114">
                  <c:v>0.972094393349204</c:v>
                </c:pt>
                <c:pt idx="115">
                  <c:v>0.95739991222745902</c:v>
                </c:pt>
                <c:pt idx="116">
                  <c:v>0.94493105976711078</c:v>
                </c:pt>
                <c:pt idx="117">
                  <c:v>0.96717768055620212</c:v>
                </c:pt>
                <c:pt idx="118">
                  <c:v>-1.1260838823072219</c:v>
                </c:pt>
                <c:pt idx="119">
                  <c:v>-1.0480839103045509</c:v>
                </c:pt>
                <c:pt idx="120">
                  <c:v>0.99267515065145684</c:v>
                </c:pt>
                <c:pt idx="121">
                  <c:v>0.99086074531303781</c:v>
                </c:pt>
                <c:pt idx="122">
                  <c:v>0.9971353902898169</c:v>
                </c:pt>
                <c:pt idx="123">
                  <c:v>0.99503957704573287</c:v>
                </c:pt>
                <c:pt idx="124">
                  <c:v>0.99778808617368475</c:v>
                </c:pt>
                <c:pt idx="125">
                  <c:v>0.99647411888644877</c:v>
                </c:pt>
                <c:pt idx="126">
                  <c:v>0.98812605344621041</c:v>
                </c:pt>
                <c:pt idx="127">
                  <c:v>0.98592236364257368</c:v>
                </c:pt>
                <c:pt idx="128">
                  <c:v>0.9811305563864553</c:v>
                </c:pt>
                <c:pt idx="129">
                  <c:v>0.99153262960756949</c:v>
                </c:pt>
                <c:pt idx="130">
                  <c:v>0.9897478719635483</c:v>
                </c:pt>
                <c:pt idx="131">
                  <c:v>0.99229914679085041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2A-4BD0-891F-AB347CBEA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87280"/>
        <c:axId val="163786800"/>
      </c:scatterChart>
      <c:valAx>
        <c:axId val="163787280"/>
        <c:scaling>
          <c:orientation val="minMax"/>
          <c:max val="45291"/>
          <c:min val="412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786800"/>
        <c:crosses val="autoZero"/>
        <c:crossBetween val="midCat"/>
      </c:valAx>
      <c:valAx>
        <c:axId val="163786800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787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338918</xdr:colOff>
      <xdr:row>0</xdr:row>
      <xdr:rowOff>55332</xdr:rowOff>
    </xdr:from>
    <xdr:to>
      <xdr:col>50</xdr:col>
      <xdr:colOff>186172</xdr:colOff>
      <xdr:row>26</xdr:row>
      <xdr:rowOff>58190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A8AA1A6-2D46-10AD-3CC0-414617857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149976</xdr:colOff>
      <xdr:row>27</xdr:row>
      <xdr:rowOff>171971</xdr:rowOff>
    </xdr:from>
    <xdr:to>
      <xdr:col>49</xdr:col>
      <xdr:colOff>43297</xdr:colOff>
      <xdr:row>42</xdr:row>
      <xdr:rowOff>50051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E9DBBE3-20AA-4AC5-9661-DA4616D9E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433994</xdr:colOff>
      <xdr:row>42</xdr:row>
      <xdr:rowOff>91443</xdr:rowOff>
    </xdr:from>
    <xdr:to>
      <xdr:col>48</xdr:col>
      <xdr:colOff>212666</xdr:colOff>
      <xdr:row>66</xdr:row>
      <xdr:rowOff>69275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D8EC6D13-3843-4E76-8A37-CD04F325D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4"/>
  <sheetViews>
    <sheetView tabSelected="1" topLeftCell="G1" zoomScale="110" zoomScaleNormal="110" workbookViewId="0">
      <selection activeCell="M1" sqref="M1"/>
    </sheetView>
  </sheetViews>
  <sheetFormatPr defaultRowHeight="14.4" x14ac:dyDescent="0.55000000000000004"/>
  <cols>
    <col min="3" max="3" width="11.89453125" bestFit="1" customWidth="1"/>
    <col min="4" max="4" width="22.3125" bestFit="1" customWidth="1"/>
    <col min="7" max="7" width="23.41796875" bestFit="1" customWidth="1"/>
    <col min="8" max="8" width="27.1015625" customWidth="1"/>
    <col min="9" max="9" width="44.89453125" bestFit="1" customWidth="1"/>
    <col min="10" max="10" width="15" bestFit="1" customWidth="1"/>
    <col min="11" max="11" width="18" bestFit="1" customWidth="1"/>
    <col min="12" max="12" width="18" customWidth="1"/>
    <col min="13" max="13" width="26.26171875" bestFit="1" customWidth="1"/>
    <col min="14" max="14" width="10.3125" bestFit="1" customWidth="1"/>
    <col min="15" max="15" width="12.68359375" bestFit="1" customWidth="1"/>
    <col min="16" max="16" width="10.3125" bestFit="1" customWidth="1"/>
    <col min="17" max="17" width="12" bestFit="1" customWidth="1"/>
    <col min="18" max="18" width="13.89453125" customWidth="1"/>
  </cols>
  <sheetData>
    <row r="1" spans="1:18" x14ac:dyDescent="0.55000000000000004">
      <c r="A1" s="1" t="s">
        <v>1</v>
      </c>
      <c r="B1" t="s">
        <v>0</v>
      </c>
      <c r="C1" t="s">
        <v>10</v>
      </c>
      <c r="D1" t="s">
        <v>2</v>
      </c>
      <c r="E1" s="1" t="s">
        <v>3</v>
      </c>
      <c r="F1" t="s">
        <v>4</v>
      </c>
      <c r="G1" t="s">
        <v>18</v>
      </c>
      <c r="H1" t="s">
        <v>11</v>
      </c>
      <c r="I1" s="3" t="s">
        <v>12</v>
      </c>
      <c r="J1" t="s">
        <v>13</v>
      </c>
      <c r="K1" t="s">
        <v>14</v>
      </c>
      <c r="L1" t="s">
        <v>16</v>
      </c>
      <c r="M1" t="s">
        <v>17</v>
      </c>
      <c r="N1" t="s">
        <v>15</v>
      </c>
      <c r="O1" t="s">
        <v>19</v>
      </c>
      <c r="P1" t="s">
        <v>6</v>
      </c>
      <c r="Q1" s="4" t="s">
        <v>7</v>
      </c>
      <c r="R1" t="s">
        <v>9</v>
      </c>
    </row>
    <row r="2" spans="1:18" x14ac:dyDescent="0.55000000000000004">
      <c r="A2" s="1"/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s="3" t="s">
        <v>8</v>
      </c>
      <c r="Q2" s="3" t="s">
        <v>8</v>
      </c>
    </row>
    <row r="3" spans="1:18" x14ac:dyDescent="0.55000000000000004">
      <c r="A3" s="2">
        <v>41275</v>
      </c>
      <c r="B3">
        <v>10.558601540926926</v>
      </c>
      <c r="C3">
        <v>0.11180555555555556</v>
      </c>
      <c r="D3">
        <v>0.17259879788684873</v>
      </c>
      <c r="E3" s="1">
        <f>B3+C3+D3</f>
        <v>10.84300589436933</v>
      </c>
      <c r="F3">
        <v>5.04</v>
      </c>
      <c r="G3">
        <f t="shared" ref="G3:G34" si="0">E3-F3</f>
        <v>5.8030058943693303</v>
      </c>
      <c r="H3">
        <v>4.6061428571428573E-2</v>
      </c>
      <c r="I3" s="3">
        <v>0</v>
      </c>
      <c r="J3">
        <v>2.5064754545305493E-2</v>
      </c>
      <c r="K3">
        <v>0</v>
      </c>
      <c r="L3">
        <f>+J3+K3+H3+I3</f>
        <v>7.1126183116734062E-2</v>
      </c>
      <c r="M3">
        <f>+G3-H3-J3-K3</f>
        <v>5.7318797112525957</v>
      </c>
      <c r="N3">
        <v>0.27236237119175627</v>
      </c>
      <c r="O3">
        <f>+M3+N3</f>
        <v>6.0042420824443523</v>
      </c>
      <c r="P3" s="5">
        <f>+(G3-L3)/ABS(G3)</f>
        <v>0.98774321715134772</v>
      </c>
      <c r="Q3" s="5">
        <f>+(G3+N3-L3)/ABS(G3)</f>
        <v>1.0346779223971292</v>
      </c>
      <c r="R3" s="6">
        <f>+(Q3-P3)/ABS(P3)</f>
        <v>4.7517112171259653E-2</v>
      </c>
    </row>
    <row r="4" spans="1:18" x14ac:dyDescent="0.55000000000000004">
      <c r="A4" s="2">
        <v>41306</v>
      </c>
      <c r="B4">
        <v>12.402227933214927</v>
      </c>
      <c r="C4">
        <v>0.11180555555555556</v>
      </c>
      <c r="D4">
        <v>9.1501168476973802E-2</v>
      </c>
      <c r="E4" s="1">
        <f t="shared" ref="E4:E67" si="1">B4+C4+D4</f>
        <v>12.605534657247457</v>
      </c>
      <c r="F4">
        <v>5.81</v>
      </c>
      <c r="G4">
        <f t="shared" si="0"/>
        <v>6.7955346572474573</v>
      </c>
      <c r="H4">
        <v>4.6061428571428573E-2</v>
      </c>
      <c r="I4" s="3">
        <v>0</v>
      </c>
      <c r="J4">
        <v>3.1971044012708977E-2</v>
      </c>
      <c r="K4">
        <v>0</v>
      </c>
      <c r="L4">
        <f t="shared" ref="L4:L67" si="2">+J4+K4+H4+I4</f>
        <v>7.8032472584137549E-2</v>
      </c>
      <c r="M4">
        <f t="shared" ref="M4:M67" si="3">+G4-H4-J4-K4</f>
        <v>6.7175021846633198</v>
      </c>
      <c r="N4">
        <v>0.31979280340608468</v>
      </c>
      <c r="O4">
        <f>+M4+N4</f>
        <v>7.0372949880694042</v>
      </c>
      <c r="P4" s="5">
        <f>+(G4-L4)/ABS(G4)</f>
        <v>0.9885170959284395</v>
      </c>
      <c r="Q4" s="5">
        <f>+(G4+N4-L4)/ABS(G4)</f>
        <v>1.0355763516803065</v>
      </c>
      <c r="R4" s="6">
        <f t="shared" ref="R4:R67" si="4">+(Q4-P4)/ABS(P4)</f>
        <v>4.7605909847889656E-2</v>
      </c>
    </row>
    <row r="5" spans="1:18" x14ac:dyDescent="0.55000000000000004">
      <c r="A5" s="2">
        <v>41334</v>
      </c>
      <c r="B5">
        <v>20.725273614279761</v>
      </c>
      <c r="C5">
        <v>0.11180555555555556</v>
      </c>
      <c r="D5">
        <v>8.9651462633101656E-2</v>
      </c>
      <c r="E5" s="1">
        <f t="shared" si="1"/>
        <v>20.92673063246842</v>
      </c>
      <c r="F5">
        <v>5.81</v>
      </c>
      <c r="G5">
        <f t="shared" si="0"/>
        <v>15.116730632468421</v>
      </c>
      <c r="H5">
        <v>4.6061428571428573E-2</v>
      </c>
      <c r="I5" s="3">
        <v>0</v>
      </c>
      <c r="J5">
        <v>2.7449405445200706E-2</v>
      </c>
      <c r="K5">
        <v>0</v>
      </c>
      <c r="L5">
        <f t="shared" si="2"/>
        <v>7.3510834016629278E-2</v>
      </c>
      <c r="M5">
        <f t="shared" si="3"/>
        <v>15.043219798451792</v>
      </c>
      <c r="N5">
        <v>0.37923478102598568</v>
      </c>
      <c r="O5">
        <f>+M5+N5</f>
        <v>15.422454579477778</v>
      </c>
      <c r="P5" s="5">
        <f>+(G5-L5)/ABS(G5)</f>
        <v>0.99513712086271233</v>
      </c>
      <c r="Q5" s="5">
        <f>+(G5+N5-L5)/ABS(G5)</f>
        <v>1.0202242108060529</v>
      </c>
      <c r="R5" s="6">
        <f t="shared" si="4"/>
        <v>2.5209681577943569E-2</v>
      </c>
    </row>
    <row r="6" spans="1:18" x14ac:dyDescent="0.55000000000000004">
      <c r="A6" s="2">
        <v>41365</v>
      </c>
      <c r="B6">
        <v>22.933217126732057</v>
      </c>
      <c r="C6">
        <v>0.11180555555555556</v>
      </c>
      <c r="D6">
        <v>0</v>
      </c>
      <c r="E6" s="1">
        <f t="shared" si="1"/>
        <v>23.045022682287613</v>
      </c>
      <c r="F6">
        <v>5.04</v>
      </c>
      <c r="G6">
        <f t="shared" si="0"/>
        <v>18.005022682287613</v>
      </c>
      <c r="H6">
        <v>4.6061428571428573E-2</v>
      </c>
      <c r="I6" s="3">
        <v>0</v>
      </c>
      <c r="J6">
        <v>3.4118739672647218E-2</v>
      </c>
      <c r="K6">
        <v>5.9193287037037037E-2</v>
      </c>
      <c r="L6">
        <f t="shared" si="2"/>
        <v>0.13937345528111283</v>
      </c>
      <c r="M6">
        <f t="shared" si="3"/>
        <v>17.865649227006504</v>
      </c>
      <c r="N6">
        <v>0.33552580054012343</v>
      </c>
      <c r="O6">
        <f>+M6+N6</f>
        <v>18.201175027546626</v>
      </c>
      <c r="P6" s="5">
        <f>+(G6-L6)/ABS(G6)</f>
        <v>0.99225919024149734</v>
      </c>
      <c r="Q6" s="5">
        <f>+(G6+N6-L6)/ABS(G6)</f>
        <v>1.0108943125882297</v>
      </c>
      <c r="R6" s="6">
        <f t="shared" si="4"/>
        <v>1.8780498613670617E-2</v>
      </c>
    </row>
    <row r="7" spans="1:18" x14ac:dyDescent="0.55000000000000004">
      <c r="A7" s="2">
        <v>41395</v>
      </c>
      <c r="B7">
        <v>15.196393084033572</v>
      </c>
      <c r="C7">
        <v>0.11180555555555556</v>
      </c>
      <c r="D7">
        <v>0</v>
      </c>
      <c r="E7" s="1">
        <f t="shared" si="1"/>
        <v>15.308198639589127</v>
      </c>
      <c r="F7">
        <v>5.04</v>
      </c>
      <c r="G7">
        <f t="shared" si="0"/>
        <v>10.268198639589126</v>
      </c>
      <c r="H7">
        <v>4.6061428571428573E-2</v>
      </c>
      <c r="I7" s="3">
        <v>0</v>
      </c>
      <c r="J7">
        <v>2.5455636521223172E-2</v>
      </c>
      <c r="K7">
        <v>5.7283826164874554E-2</v>
      </c>
      <c r="L7">
        <f t="shared" si="2"/>
        <v>0.12880089125752631</v>
      </c>
      <c r="M7">
        <f t="shared" si="3"/>
        <v>10.1393977483316</v>
      </c>
      <c r="N7">
        <v>0.34131589755077657</v>
      </c>
      <c r="O7">
        <f>+M7+N7</f>
        <v>10.480713645882377</v>
      </c>
      <c r="P7" s="5">
        <f>+(G7-L7)/ABS(G7)</f>
        <v>0.98745633038681846</v>
      </c>
      <c r="Q7" s="5">
        <f>+(G7+N7-L7)/ABS(G7)</f>
        <v>1.0206964253178641</v>
      </c>
      <c r="R7" s="6">
        <f t="shared" si="4"/>
        <v>3.3662344255795507E-2</v>
      </c>
    </row>
    <row r="8" spans="1:18" x14ac:dyDescent="0.55000000000000004">
      <c r="A8" s="2">
        <v>41426</v>
      </c>
      <c r="B8">
        <v>10.950929113940717</v>
      </c>
      <c r="C8">
        <v>0.11180555555555556</v>
      </c>
      <c r="D8">
        <v>0</v>
      </c>
      <c r="E8" s="1">
        <f t="shared" si="1"/>
        <v>11.062734669496272</v>
      </c>
      <c r="F8">
        <v>5.04</v>
      </c>
      <c r="G8">
        <f t="shared" si="0"/>
        <v>6.0227346694962725</v>
      </c>
      <c r="H8">
        <v>4.6061428571428573E-2</v>
      </c>
      <c r="I8" s="3">
        <v>0</v>
      </c>
      <c r="J8">
        <v>2.9885567582318182E-2</v>
      </c>
      <c r="K8">
        <v>5.9193287037037037E-2</v>
      </c>
      <c r="L8">
        <f t="shared" si="2"/>
        <v>0.13514028319078381</v>
      </c>
      <c r="M8">
        <f t="shared" si="3"/>
        <v>5.887594386305488</v>
      </c>
      <c r="N8">
        <v>0.32141473765432099</v>
      </c>
      <c r="O8">
        <f>+M8+N8</f>
        <v>6.2090091239598086</v>
      </c>
      <c r="P8" s="5">
        <f>+(G8-L8)/ABS(G8)</f>
        <v>0.97756164091451059</v>
      </c>
      <c r="Q8" s="5">
        <f>+(G8+N8-L8)/ABS(G8)</f>
        <v>1.0309285506809678</v>
      </c>
      <c r="R8" s="6">
        <f t="shared" si="4"/>
        <v>5.4591861559269407E-2</v>
      </c>
    </row>
    <row r="9" spans="1:18" x14ac:dyDescent="0.55000000000000004">
      <c r="A9" s="2">
        <v>41456</v>
      </c>
      <c r="B9">
        <v>6.3298670669748569</v>
      </c>
      <c r="C9">
        <v>0.11180555555555556</v>
      </c>
      <c r="D9">
        <v>0</v>
      </c>
      <c r="E9" s="1">
        <f t="shared" si="1"/>
        <v>6.4416726225304126</v>
      </c>
      <c r="F9">
        <v>3.87</v>
      </c>
      <c r="G9">
        <f t="shared" si="0"/>
        <v>2.5716726225304125</v>
      </c>
      <c r="H9">
        <v>4.6061428571428573E-2</v>
      </c>
      <c r="I9" s="3">
        <v>0</v>
      </c>
      <c r="J9">
        <v>3.761265144462022E-2</v>
      </c>
      <c r="K9">
        <v>5.7283826164874554E-2</v>
      </c>
      <c r="L9">
        <f t="shared" si="2"/>
        <v>0.14095790618092335</v>
      </c>
      <c r="M9">
        <f t="shared" si="3"/>
        <v>2.4307147163494891</v>
      </c>
      <c r="N9">
        <v>0.30692558990442054</v>
      </c>
      <c r="O9">
        <f>+M9+N9</f>
        <v>2.7376403062539096</v>
      </c>
      <c r="P9" s="5">
        <f>+(G9-L9)/ABS(G9)</f>
        <v>0.94518823860160428</v>
      </c>
      <c r="Q9" s="5">
        <f>+(G9+N9-L9)/ABS(G9)</f>
        <v>1.0645368630009338</v>
      </c>
      <c r="R9" s="6">
        <f t="shared" si="4"/>
        <v>0.12626968843360181</v>
      </c>
    </row>
    <row r="10" spans="1:18" x14ac:dyDescent="0.55000000000000004">
      <c r="A10" s="2">
        <v>41487</v>
      </c>
      <c r="B10">
        <v>5.8608776660460835</v>
      </c>
      <c r="C10">
        <v>0.11180555555555556</v>
      </c>
      <c r="D10">
        <v>0</v>
      </c>
      <c r="E10" s="1">
        <f t="shared" si="1"/>
        <v>5.9726832216016392</v>
      </c>
      <c r="F10">
        <v>3.87</v>
      </c>
      <c r="G10">
        <f t="shared" si="0"/>
        <v>2.1026832216016391</v>
      </c>
      <c r="H10">
        <v>4.6061428571428573E-2</v>
      </c>
      <c r="I10" s="3">
        <v>0</v>
      </c>
      <c r="J10">
        <v>3.3540460721638674E-2</v>
      </c>
      <c r="K10">
        <v>5.7283826164874554E-2</v>
      </c>
      <c r="L10">
        <f t="shared" si="2"/>
        <v>0.13688571545794181</v>
      </c>
      <c r="M10">
        <f t="shared" si="3"/>
        <v>1.9657975061436976</v>
      </c>
      <c r="N10">
        <v>0.30970857134856633</v>
      </c>
      <c r="O10">
        <f>+M10+N10</f>
        <v>2.2755060774922642</v>
      </c>
      <c r="P10" s="5">
        <f>+(G10-L10)/ABS(G10)</f>
        <v>0.93489950647265152</v>
      </c>
      <c r="Q10" s="5">
        <f>+(G10+N10-L10)/ABS(G10)</f>
        <v>1.0821915798419619</v>
      </c>
      <c r="R10" s="6">
        <f t="shared" si="4"/>
        <v>0.15754856254555002</v>
      </c>
    </row>
    <row r="11" spans="1:18" x14ac:dyDescent="0.55000000000000004">
      <c r="A11" s="2">
        <v>41518</v>
      </c>
      <c r="B11">
        <v>5.4607933232074366</v>
      </c>
      <c r="C11">
        <v>0.11180555555555556</v>
      </c>
      <c r="D11">
        <v>0</v>
      </c>
      <c r="E11" s="1">
        <f t="shared" si="1"/>
        <v>5.5725988787629923</v>
      </c>
      <c r="F11">
        <v>3.87</v>
      </c>
      <c r="G11">
        <f t="shared" si="0"/>
        <v>1.7025988787629922</v>
      </c>
      <c r="H11">
        <v>4.6061428571428573E-2</v>
      </c>
      <c r="I11" s="3">
        <v>0</v>
      </c>
      <c r="J11">
        <v>3.5160335337920116E-2</v>
      </c>
      <c r="K11">
        <v>5.9193287037037037E-2</v>
      </c>
      <c r="L11">
        <f t="shared" si="2"/>
        <v>0.14041505094638573</v>
      </c>
      <c r="M11">
        <f t="shared" si="3"/>
        <v>1.5621838278166065</v>
      </c>
      <c r="N11">
        <v>0.30139578510802467</v>
      </c>
      <c r="O11">
        <f>+M11+N11</f>
        <v>1.8635796129246311</v>
      </c>
      <c r="P11" s="5">
        <f>+(G11-L11)/ABS(G11)</f>
        <v>0.91752898894870472</v>
      </c>
      <c r="Q11" s="5">
        <f>+(G11+N11-L11)/ABS(G11)</f>
        <v>1.0945500059759219</v>
      </c>
      <c r="R11" s="6">
        <f t="shared" si="4"/>
        <v>0.19293234236669299</v>
      </c>
    </row>
    <row r="12" spans="1:18" x14ac:dyDescent="0.55000000000000004">
      <c r="A12" s="2">
        <v>41548</v>
      </c>
      <c r="B12">
        <v>4.3718028053506206</v>
      </c>
      <c r="C12">
        <v>0.11180555555555556</v>
      </c>
      <c r="D12">
        <v>0</v>
      </c>
      <c r="E12" s="1">
        <f t="shared" si="1"/>
        <v>4.4836083609061763</v>
      </c>
      <c r="F12">
        <v>3.87</v>
      </c>
      <c r="G12">
        <f t="shared" si="0"/>
        <v>0.61360836090617621</v>
      </c>
      <c r="H12">
        <v>4.6061428571428573E-2</v>
      </c>
      <c r="I12" s="3">
        <v>0</v>
      </c>
      <c r="J12">
        <v>3.174192155638951E-2</v>
      </c>
      <c r="K12">
        <v>0</v>
      </c>
      <c r="L12">
        <f t="shared" si="2"/>
        <v>7.7803350127818083E-2</v>
      </c>
      <c r="M12">
        <f t="shared" si="3"/>
        <v>0.53580501077835807</v>
      </c>
      <c r="N12">
        <v>0.29510608012246115</v>
      </c>
      <c r="O12">
        <f>+M12+N12</f>
        <v>0.83091109090081927</v>
      </c>
      <c r="P12" s="5">
        <f>+(G12-L12)/ABS(G12)</f>
        <v>0.87320356910893748</v>
      </c>
      <c r="Q12" s="5">
        <f>+(G12+N12-L12)/ABS(G12)</f>
        <v>1.3541391282115691</v>
      </c>
      <c r="R12" s="6">
        <f t="shared" si="4"/>
        <v>0.55077140785556267</v>
      </c>
    </row>
    <row r="13" spans="1:18" x14ac:dyDescent="0.55000000000000004">
      <c r="A13" s="2">
        <v>41579</v>
      </c>
      <c r="B13">
        <v>36.56590878345672</v>
      </c>
      <c r="C13">
        <v>0.11180555555555556</v>
      </c>
      <c r="D13">
        <v>0.40980606547974713</v>
      </c>
      <c r="E13" s="1">
        <f t="shared" si="1"/>
        <v>37.087520404492025</v>
      </c>
      <c r="F13">
        <v>5.04</v>
      </c>
      <c r="G13">
        <f t="shared" si="0"/>
        <v>32.047520404492026</v>
      </c>
      <c r="H13">
        <v>4.6061428571428573E-2</v>
      </c>
      <c r="I13" s="3">
        <v>0</v>
      </c>
      <c r="J13">
        <v>0</v>
      </c>
      <c r="K13">
        <v>0</v>
      </c>
      <c r="L13">
        <f t="shared" si="2"/>
        <v>4.6061428571428573E-2</v>
      </c>
      <c r="M13">
        <f t="shared" si="3"/>
        <v>32.001458975920599</v>
      </c>
      <c r="N13">
        <v>0.27756004050925925</v>
      </c>
      <c r="O13">
        <f>+M13+N13</f>
        <v>32.279019016429856</v>
      </c>
      <c r="P13" s="5">
        <f>+(G13-L13)/ABS(G13)</f>
        <v>0.998562714743916</v>
      </c>
      <c r="Q13" s="5">
        <f>+(G13+N13-L13)/ABS(G13)</f>
        <v>1.0072236044790968</v>
      </c>
      <c r="R13" s="6">
        <f t="shared" si="4"/>
        <v>8.6733558216239449E-3</v>
      </c>
    </row>
    <row r="14" spans="1:18" x14ac:dyDescent="0.55000000000000004">
      <c r="A14" s="2">
        <v>41609</v>
      </c>
      <c r="B14">
        <v>36.679292451919359</v>
      </c>
      <c r="C14">
        <v>0.11180555555555556</v>
      </c>
      <c r="D14">
        <v>0.19265597789480507</v>
      </c>
      <c r="E14" s="1">
        <f t="shared" si="1"/>
        <v>36.983753985369717</v>
      </c>
      <c r="F14">
        <v>5.04</v>
      </c>
      <c r="G14">
        <f t="shared" si="0"/>
        <v>31.943753985369717</v>
      </c>
      <c r="H14">
        <v>4.6061428571428573E-2</v>
      </c>
      <c r="I14" s="3">
        <v>0</v>
      </c>
      <c r="J14">
        <v>2.3969733954576466E-2</v>
      </c>
      <c r="K14">
        <v>0</v>
      </c>
      <c r="L14">
        <f t="shared" si="2"/>
        <v>7.0031162526005039E-2</v>
      </c>
      <c r="M14">
        <f t="shared" si="3"/>
        <v>31.873722822843714</v>
      </c>
      <c r="N14">
        <v>0.26966673200418162</v>
      </c>
      <c r="O14">
        <f>+M14+N14</f>
        <v>32.143389554847893</v>
      </c>
      <c r="P14" s="5">
        <f>+(G14-L14)/ABS(G14)</f>
        <v>0.99780767274384596</v>
      </c>
      <c r="Q14" s="5">
        <f>+(G14+N14-L14)/ABS(G14)</f>
        <v>1.0062495963864988</v>
      </c>
      <c r="R14" s="6">
        <f t="shared" si="4"/>
        <v>8.4604717655042752E-3</v>
      </c>
    </row>
    <row r="15" spans="1:18" x14ac:dyDescent="0.55000000000000004">
      <c r="A15" s="2">
        <v>41640</v>
      </c>
      <c r="B15">
        <v>13.266006829403015</v>
      </c>
      <c r="C15">
        <v>0.11180555555555556</v>
      </c>
      <c r="D15">
        <v>7.3853045453375107E-2</v>
      </c>
      <c r="E15" s="1">
        <f t="shared" si="1"/>
        <v>13.451665430411946</v>
      </c>
      <c r="F15">
        <v>5.04</v>
      </c>
      <c r="G15">
        <f t="shared" si="0"/>
        <v>8.4116654304119471</v>
      </c>
      <c r="H15">
        <v>4.6061428571428573E-2</v>
      </c>
      <c r="I15" s="3">
        <v>0</v>
      </c>
      <c r="J15">
        <v>3.0937498945732382E-2</v>
      </c>
      <c r="K15">
        <v>0</v>
      </c>
      <c r="L15">
        <f t="shared" si="2"/>
        <v>7.6998927517160948E-2</v>
      </c>
      <c r="M15">
        <f t="shared" si="3"/>
        <v>8.3346665028947857</v>
      </c>
      <c r="N15">
        <v>0.27236237119175627</v>
      </c>
      <c r="O15">
        <f>+M15+N15</f>
        <v>8.6070288740865415</v>
      </c>
      <c r="P15" s="5">
        <f>+(G15-L15)/ABS(G15)</f>
        <v>0.99084617331084335</v>
      </c>
      <c r="Q15" s="5">
        <f>+(G15+N15-L15)/ABS(G15)</f>
        <v>1.0232252988769939</v>
      </c>
      <c r="R15" s="6">
        <f t="shared" si="4"/>
        <v>3.2678256664158002E-2</v>
      </c>
    </row>
    <row r="16" spans="1:18" x14ac:dyDescent="0.55000000000000004">
      <c r="A16" s="2">
        <v>41671</v>
      </c>
      <c r="B16">
        <v>19.245999161571547</v>
      </c>
      <c r="C16">
        <v>0.11180555555555556</v>
      </c>
      <c r="D16">
        <v>2.1099471509813363E-2</v>
      </c>
      <c r="E16" s="1">
        <f t="shared" si="1"/>
        <v>19.378904188636916</v>
      </c>
      <c r="F16">
        <v>5.81</v>
      </c>
      <c r="G16">
        <f t="shared" si="0"/>
        <v>13.568904188636917</v>
      </c>
      <c r="H16">
        <v>4.6061428571428573E-2</v>
      </c>
      <c r="I16" s="3">
        <v>0</v>
      </c>
      <c r="J16">
        <v>4.0328545520600195E-2</v>
      </c>
      <c r="K16">
        <v>0</v>
      </c>
      <c r="L16">
        <f t="shared" si="2"/>
        <v>8.6389974092028768E-2</v>
      </c>
      <c r="M16">
        <f t="shared" si="3"/>
        <v>13.482514214544889</v>
      </c>
      <c r="N16">
        <v>0.31979280340608468</v>
      </c>
      <c r="O16">
        <f>+M16+N16</f>
        <v>13.802307017950973</v>
      </c>
      <c r="P16" s="5">
        <f>+(G16-L16)/ABS(G16)</f>
        <v>0.99363323869849607</v>
      </c>
      <c r="Q16" s="5">
        <f>+(G16+N16-L16)/ABS(G16)</f>
        <v>1.0172013027779734</v>
      </c>
      <c r="R16" s="6">
        <f t="shared" si="4"/>
        <v>2.3719077786032789E-2</v>
      </c>
    </row>
    <row r="17" spans="1:18" x14ac:dyDescent="0.55000000000000004">
      <c r="A17" s="2">
        <v>41699</v>
      </c>
      <c r="B17">
        <v>15.632871765533192</v>
      </c>
      <c r="C17">
        <v>0.11180555555555556</v>
      </c>
      <c r="D17">
        <v>0.13568268109824616</v>
      </c>
      <c r="E17" s="1">
        <f t="shared" si="1"/>
        <v>15.880360002186993</v>
      </c>
      <c r="F17">
        <v>5.81</v>
      </c>
      <c r="G17">
        <f t="shared" si="0"/>
        <v>10.070360002186995</v>
      </c>
      <c r="H17">
        <v>4.6061428571428573E-2</v>
      </c>
      <c r="I17" s="3">
        <v>0</v>
      </c>
      <c r="J17">
        <v>1.7117154647282772E-2</v>
      </c>
      <c r="K17">
        <v>0</v>
      </c>
      <c r="L17">
        <f t="shared" si="2"/>
        <v>6.3178583218711337E-2</v>
      </c>
      <c r="M17">
        <f t="shared" si="3"/>
        <v>10.007181418968283</v>
      </c>
      <c r="N17">
        <v>0.37923478102598568</v>
      </c>
      <c r="O17">
        <f>+M17+N17</f>
        <v>10.386416199994269</v>
      </c>
      <c r="P17" s="5">
        <f>+(G17-L17)/ABS(G17)</f>
        <v>0.99372628354845405</v>
      </c>
      <c r="Q17" s="5">
        <f>+(G17+N17-L17)/ABS(G17)</f>
        <v>1.0313847963467677</v>
      </c>
      <c r="R17" s="6">
        <f t="shared" si="4"/>
        <v>3.7896263208255419E-2</v>
      </c>
    </row>
    <row r="18" spans="1:18" x14ac:dyDescent="0.55000000000000004">
      <c r="A18" s="2">
        <v>41730</v>
      </c>
      <c r="B18">
        <v>19.934083517647043</v>
      </c>
      <c r="C18">
        <v>0.11180555555555556</v>
      </c>
      <c r="D18">
        <v>3.6770131005206021E-2</v>
      </c>
      <c r="E18" s="1">
        <f t="shared" si="1"/>
        <v>20.082659204207804</v>
      </c>
      <c r="F18">
        <v>5.04</v>
      </c>
      <c r="G18">
        <f t="shared" si="0"/>
        <v>15.042659204207805</v>
      </c>
      <c r="H18">
        <v>4.6061428571428573E-2</v>
      </c>
      <c r="I18" s="3">
        <v>0</v>
      </c>
      <c r="J18">
        <v>2.4591753889670383E-2</v>
      </c>
      <c r="K18">
        <v>5.9193287037037037E-2</v>
      </c>
      <c r="L18">
        <f t="shared" si="2"/>
        <v>0.129846469498136</v>
      </c>
      <c r="M18">
        <f t="shared" si="3"/>
        <v>14.91281273470967</v>
      </c>
      <c r="N18">
        <v>0.33552580054012343</v>
      </c>
      <c r="O18">
        <f>+M18+N18</f>
        <v>15.248338535249793</v>
      </c>
      <c r="P18" s="5">
        <f>+(G18-L18)/ABS(G18)</f>
        <v>0.99136811731653041</v>
      </c>
      <c r="Q18" s="5">
        <f>+(G18+N18-L18)/ABS(G18)</f>
        <v>1.0136730699173491</v>
      </c>
      <c r="R18" s="6">
        <f t="shared" si="4"/>
        <v>2.249916273401497E-2</v>
      </c>
    </row>
    <row r="19" spans="1:18" x14ac:dyDescent="0.55000000000000004">
      <c r="A19" s="2">
        <v>41760</v>
      </c>
      <c r="B19">
        <v>24.258928751225966</v>
      </c>
      <c r="C19">
        <v>0.11180555555555556</v>
      </c>
      <c r="D19">
        <v>0.13608973390091342</v>
      </c>
      <c r="E19" s="1">
        <f t="shared" si="1"/>
        <v>24.506824040682435</v>
      </c>
      <c r="F19">
        <v>5.04</v>
      </c>
      <c r="G19">
        <f t="shared" si="0"/>
        <v>19.466824040682436</v>
      </c>
      <c r="H19">
        <v>4.6061428571428573E-2</v>
      </c>
      <c r="I19" s="3">
        <v>0</v>
      </c>
      <c r="J19">
        <v>0</v>
      </c>
      <c r="K19">
        <v>5.7283826164874554E-2</v>
      </c>
      <c r="L19">
        <f t="shared" si="2"/>
        <v>0.10334525473630313</v>
      </c>
      <c r="M19">
        <f t="shared" si="3"/>
        <v>19.363478785946135</v>
      </c>
      <c r="N19">
        <v>0.34131589755077657</v>
      </c>
      <c r="O19">
        <f>+M19+N19</f>
        <v>19.70479468349691</v>
      </c>
      <c r="P19" s="5">
        <f>+(G19-L19)/ABS(G19)</f>
        <v>0.99469121133882288</v>
      </c>
      <c r="Q19" s="5">
        <f>+(G19+N19-L19)/ABS(G19)</f>
        <v>1.012224420497003</v>
      </c>
      <c r="R19" s="6">
        <f t="shared" si="4"/>
        <v>1.7626786040042502E-2</v>
      </c>
    </row>
    <row r="20" spans="1:18" x14ac:dyDescent="0.55000000000000004">
      <c r="A20" s="2">
        <v>41791</v>
      </c>
      <c r="B20">
        <v>9.393438777579405</v>
      </c>
      <c r="C20">
        <v>0.11180555555555556</v>
      </c>
      <c r="D20">
        <v>0</v>
      </c>
      <c r="E20" s="1">
        <f t="shared" si="1"/>
        <v>9.5052443331349608</v>
      </c>
      <c r="F20">
        <v>5.04</v>
      </c>
      <c r="G20">
        <f t="shared" si="0"/>
        <v>4.4652443331349607</v>
      </c>
      <c r="H20">
        <v>4.6061428571428573E-2</v>
      </c>
      <c r="I20" s="3">
        <v>0</v>
      </c>
      <c r="J20">
        <v>4.0211362626912578E-2</v>
      </c>
      <c r="K20">
        <v>5.9193287037037037E-2</v>
      </c>
      <c r="L20">
        <f t="shared" si="2"/>
        <v>0.14546607823537819</v>
      </c>
      <c r="M20">
        <f t="shared" si="3"/>
        <v>4.3197782548995818</v>
      </c>
      <c r="N20">
        <v>0.32141473765432099</v>
      </c>
      <c r="O20">
        <f>+M20+N20</f>
        <v>4.6411929925539024</v>
      </c>
      <c r="P20" s="5">
        <f>+(G20-L20)/ABS(G20)</f>
        <v>0.96742259384197027</v>
      </c>
      <c r="Q20" s="5">
        <f>+(G20+N20-L20)/ABS(G20)</f>
        <v>1.0394040384561469</v>
      </c>
      <c r="R20" s="6">
        <f t="shared" si="4"/>
        <v>7.4405378861696223E-2</v>
      </c>
    </row>
    <row r="21" spans="1:18" x14ac:dyDescent="0.55000000000000004">
      <c r="A21" s="2">
        <v>41821</v>
      </c>
      <c r="B21">
        <v>6.615373314825872</v>
      </c>
      <c r="C21">
        <v>0.11180555555555556</v>
      </c>
      <c r="D21">
        <v>0</v>
      </c>
      <c r="E21" s="1">
        <f t="shared" si="1"/>
        <v>6.7271788703814277</v>
      </c>
      <c r="F21">
        <v>3.87</v>
      </c>
      <c r="G21">
        <f t="shared" si="0"/>
        <v>2.8571788703814276</v>
      </c>
      <c r="H21">
        <v>4.6061428571428573E-2</v>
      </c>
      <c r="I21" s="3">
        <v>0</v>
      </c>
      <c r="J21">
        <v>2.2746071461320617E-2</v>
      </c>
      <c r="K21">
        <v>5.7283826164874554E-2</v>
      </c>
      <c r="L21">
        <f t="shared" si="2"/>
        <v>0.12609132619762375</v>
      </c>
      <c r="M21">
        <f t="shared" si="3"/>
        <v>2.7310875441838038</v>
      </c>
      <c r="N21">
        <v>0.30692558990442054</v>
      </c>
      <c r="O21">
        <f>+M21+N21</f>
        <v>3.0380131340882244</v>
      </c>
      <c r="P21" s="5">
        <f>+(G21-L21)/ABS(G21)</f>
        <v>0.95586859209105424</v>
      </c>
      <c r="Q21" s="5">
        <f>+(G21+N21-L21)/ABS(G21)</f>
        <v>1.063291194535068</v>
      </c>
      <c r="R21" s="6">
        <f t="shared" si="4"/>
        <v>0.11238218656082899</v>
      </c>
    </row>
    <row r="22" spans="1:18" x14ac:dyDescent="0.55000000000000004">
      <c r="A22" s="2">
        <v>41852</v>
      </c>
      <c r="B22">
        <v>5.1886562175164874</v>
      </c>
      <c r="C22">
        <v>0.11180555555555556</v>
      </c>
      <c r="D22">
        <v>0</v>
      </c>
      <c r="E22" s="1">
        <f t="shared" si="1"/>
        <v>5.3004617730720431</v>
      </c>
      <c r="F22">
        <v>3.87</v>
      </c>
      <c r="G22">
        <f t="shared" si="0"/>
        <v>1.430461773072043</v>
      </c>
      <c r="H22">
        <v>4.6061428571428573E-2</v>
      </c>
      <c r="I22" s="3">
        <v>0</v>
      </c>
      <c r="J22">
        <v>5.3618888832339721E-2</v>
      </c>
      <c r="K22">
        <v>5.7283826164874554E-2</v>
      </c>
      <c r="L22">
        <f t="shared" si="2"/>
        <v>0.15696414356864286</v>
      </c>
      <c r="M22">
        <f t="shared" si="3"/>
        <v>1.2734976295034004</v>
      </c>
      <c r="N22">
        <v>0.30970857134856633</v>
      </c>
      <c r="O22">
        <f>+M22+N22</f>
        <v>1.5832062008519667</v>
      </c>
      <c r="P22" s="5">
        <f>+(G22-L22)/ABS(G22)</f>
        <v>0.89027029835858629</v>
      </c>
      <c r="Q22" s="5">
        <f>+(G22+N22-L22)/ABS(G22)</f>
        <v>1.1067798040152386</v>
      </c>
      <c r="R22" s="6">
        <f t="shared" si="4"/>
        <v>0.24319524761843261</v>
      </c>
    </row>
    <row r="23" spans="1:18" x14ac:dyDescent="0.55000000000000004">
      <c r="A23" s="2">
        <v>41883</v>
      </c>
      <c r="B23">
        <v>5.878028377878227</v>
      </c>
      <c r="C23">
        <v>0.11180555555555556</v>
      </c>
      <c r="D23">
        <v>0</v>
      </c>
      <c r="E23" s="1">
        <f t="shared" si="1"/>
        <v>5.9898339334337827</v>
      </c>
      <c r="F23">
        <v>3.87</v>
      </c>
      <c r="G23">
        <f t="shared" si="0"/>
        <v>2.1198339334337826</v>
      </c>
      <c r="H23">
        <v>4.6061428571428573E-2</v>
      </c>
      <c r="I23" s="3">
        <v>0</v>
      </c>
      <c r="J23">
        <v>2.7020957299113153E-2</v>
      </c>
      <c r="K23">
        <v>5.9193287037037037E-2</v>
      </c>
      <c r="L23">
        <f t="shared" si="2"/>
        <v>0.13227567290757875</v>
      </c>
      <c r="M23">
        <f t="shared" si="3"/>
        <v>1.9875582605262039</v>
      </c>
      <c r="N23">
        <v>0.30139578510802467</v>
      </c>
      <c r="O23">
        <f>+M23+N23</f>
        <v>2.2889540456342283</v>
      </c>
      <c r="P23" s="5">
        <f>+(G23-L23)/ABS(G23)</f>
        <v>0.93760092674178785</v>
      </c>
      <c r="Q23" s="5">
        <f>+(G23+N23-L23)/ABS(G23)</f>
        <v>1.0797798872511202</v>
      </c>
      <c r="R23" s="6">
        <f t="shared" si="4"/>
        <v>0.1516412329106922</v>
      </c>
    </row>
    <row r="24" spans="1:18" x14ac:dyDescent="0.55000000000000004">
      <c r="A24" s="2">
        <v>41913</v>
      </c>
      <c r="B24">
        <v>4.7338257334127549</v>
      </c>
      <c r="C24">
        <v>0.11180555555555556</v>
      </c>
      <c r="D24">
        <v>0</v>
      </c>
      <c r="E24" s="1">
        <f t="shared" si="1"/>
        <v>4.8456312889683106</v>
      </c>
      <c r="F24">
        <v>3.87</v>
      </c>
      <c r="G24">
        <f t="shared" si="0"/>
        <v>0.97563128896831053</v>
      </c>
      <c r="H24">
        <v>4.6061428571428573E-2</v>
      </c>
      <c r="I24" s="3">
        <v>0</v>
      </c>
      <c r="J24">
        <v>1.2793277081255957E-2</v>
      </c>
      <c r="K24">
        <v>0</v>
      </c>
      <c r="L24">
        <f t="shared" si="2"/>
        <v>5.8854705652684532E-2</v>
      </c>
      <c r="M24">
        <f t="shared" si="3"/>
        <v>0.91677658331562595</v>
      </c>
      <c r="N24">
        <v>0.29510608012246115</v>
      </c>
      <c r="O24">
        <f>+M24+N24</f>
        <v>1.211882663438087</v>
      </c>
      <c r="P24" s="5">
        <f>+(G24-L24)/ABS(G24)</f>
        <v>0.93967525814498942</v>
      </c>
      <c r="Q24" s="5">
        <f>+(G24+N24-L24)/ABS(G24)</f>
        <v>1.2421523142411748</v>
      </c>
      <c r="R24" s="6">
        <f t="shared" si="4"/>
        <v>0.32189530742067696</v>
      </c>
    </row>
    <row r="25" spans="1:18" x14ac:dyDescent="0.55000000000000004">
      <c r="A25" s="2">
        <v>41944</v>
      </c>
      <c r="B25">
        <v>4.9328998555009269</v>
      </c>
      <c r="C25">
        <v>0.11180555555555556</v>
      </c>
      <c r="D25">
        <v>0</v>
      </c>
      <c r="E25" s="1">
        <f t="shared" si="1"/>
        <v>5.0447054110564826</v>
      </c>
      <c r="F25">
        <v>5.04</v>
      </c>
      <c r="G25">
        <f t="shared" si="0"/>
        <v>4.7054110564825891E-3</v>
      </c>
      <c r="H25">
        <v>4.6061428571428573E-2</v>
      </c>
      <c r="I25" s="3">
        <v>0</v>
      </c>
      <c r="J25">
        <v>4.0214095514138501E-2</v>
      </c>
      <c r="K25">
        <v>0</v>
      </c>
      <c r="L25">
        <f t="shared" si="2"/>
        <v>8.6275524085567074E-2</v>
      </c>
      <c r="M25">
        <f t="shared" si="3"/>
        <v>-8.1570113029084484E-2</v>
      </c>
      <c r="N25">
        <v>0.27756004050925925</v>
      </c>
      <c r="O25">
        <f>+M25+N25</f>
        <v>0.19598992748017477</v>
      </c>
      <c r="P25" s="5">
        <f>+(G25-L25)/ABS(G25)</f>
        <v>-17.335385166128326</v>
      </c>
      <c r="Q25" s="5">
        <f>+(G25+N25-L25)/ABS(G25)</f>
        <v>41.652031061167712</v>
      </c>
      <c r="R25" s="6">
        <f t="shared" si="4"/>
        <v>3.4027173703963483</v>
      </c>
    </row>
    <row r="26" spans="1:18" x14ac:dyDescent="0.55000000000000004">
      <c r="A26" s="2">
        <v>41974</v>
      </c>
      <c r="B26">
        <v>4.4360079304724005</v>
      </c>
      <c r="C26">
        <v>0.11180555555555556</v>
      </c>
      <c r="D26">
        <v>0</v>
      </c>
      <c r="E26" s="1">
        <f t="shared" si="1"/>
        <v>4.5478134860279562</v>
      </c>
      <c r="F26">
        <v>5.04</v>
      </c>
      <c r="G26">
        <f t="shared" si="0"/>
        <v>-0.49218651397204383</v>
      </c>
      <c r="H26">
        <v>4.6061428571428573E-2</v>
      </c>
      <c r="I26" s="3">
        <v>0</v>
      </c>
      <c r="J26">
        <v>2.8259871791041332E-2</v>
      </c>
      <c r="K26">
        <v>0</v>
      </c>
      <c r="L26">
        <f t="shared" si="2"/>
        <v>7.4321300362469908E-2</v>
      </c>
      <c r="M26">
        <f t="shared" si="3"/>
        <v>-0.56650781433451369</v>
      </c>
      <c r="N26">
        <v>0.26966673200418162</v>
      </c>
      <c r="O26">
        <f>+M26+N26</f>
        <v>-0.29684108233033207</v>
      </c>
      <c r="P26" s="5">
        <f>+(G26-L26)/ABS(G26)</f>
        <v>-1.1510023095973965</v>
      </c>
      <c r="Q26" s="5">
        <f>+(G26+N26-L26)/ABS(G26)</f>
        <v>-0.60310689932311456</v>
      </c>
      <c r="R26" s="6">
        <f t="shared" si="4"/>
        <v>0.47601590866131938</v>
      </c>
    </row>
    <row r="27" spans="1:18" x14ac:dyDescent="0.55000000000000004">
      <c r="A27" s="2">
        <v>42005</v>
      </c>
      <c r="B27">
        <v>10.637405895277174</v>
      </c>
      <c r="C27">
        <v>0.11180555555555556</v>
      </c>
      <c r="D27">
        <v>9.6348224084908937E-2</v>
      </c>
      <c r="E27" s="1">
        <f t="shared" si="1"/>
        <v>10.84555967491764</v>
      </c>
      <c r="F27">
        <v>5.04</v>
      </c>
      <c r="G27">
        <f t="shared" si="0"/>
        <v>5.8055596749176397</v>
      </c>
      <c r="H27">
        <v>4.6061428571428573E-2</v>
      </c>
      <c r="I27" s="3">
        <v>0</v>
      </c>
      <c r="J27">
        <v>2.2326752790685168E-2</v>
      </c>
      <c r="K27">
        <v>0</v>
      </c>
      <c r="L27">
        <f t="shared" si="2"/>
        <v>6.8388181362113748E-2</v>
      </c>
      <c r="M27">
        <f t="shared" si="3"/>
        <v>5.7371714935555254</v>
      </c>
      <c r="N27">
        <v>0.27236237119175627</v>
      </c>
      <c r="O27">
        <f>+M27+N27</f>
        <v>6.009533864747282</v>
      </c>
      <c r="P27" s="5">
        <f>+(G27-L27)/ABS(G27)</f>
        <v>0.98822022592282055</v>
      </c>
      <c r="Q27" s="5">
        <f>+(G27+N27-L27)/ABS(G27)</f>
        <v>1.0351342852801761</v>
      </c>
      <c r="R27" s="6">
        <f t="shared" si="4"/>
        <v>4.7473283916594881E-2</v>
      </c>
    </row>
    <row r="28" spans="1:18" x14ac:dyDescent="0.55000000000000004">
      <c r="A28" s="2">
        <v>42036</v>
      </c>
      <c r="B28">
        <v>23.744734905405995</v>
      </c>
      <c r="C28">
        <v>0.11180555555555556</v>
      </c>
      <c r="D28">
        <v>0.28328420208018501</v>
      </c>
      <c r="E28" s="1">
        <f t="shared" si="1"/>
        <v>24.139824663041736</v>
      </c>
      <c r="F28">
        <v>5.81</v>
      </c>
      <c r="G28">
        <f t="shared" si="0"/>
        <v>18.329824663041737</v>
      </c>
      <c r="H28">
        <v>4.6061428571428573E-2</v>
      </c>
      <c r="I28" s="3">
        <v>0</v>
      </c>
      <c r="J28">
        <v>1.3850700695796718E-2</v>
      </c>
      <c r="K28">
        <v>0</v>
      </c>
      <c r="L28">
        <f t="shared" si="2"/>
        <v>5.9912129267225292E-2</v>
      </c>
      <c r="M28">
        <f t="shared" si="3"/>
        <v>18.269912533774512</v>
      </c>
      <c r="N28">
        <v>0.31979280340608468</v>
      </c>
      <c r="O28">
        <f>+M28+N28</f>
        <v>18.589705337180597</v>
      </c>
      <c r="P28" s="5">
        <f>+(G28-L28)/ABS(G28)</f>
        <v>0.99673144013275672</v>
      </c>
      <c r="Q28" s="5">
        <f>+(G28+N28-L28)/ABS(G28)</f>
        <v>1.0141780229170907</v>
      </c>
      <c r="R28" s="6">
        <f t="shared" si="4"/>
        <v>1.7503794986150161E-2</v>
      </c>
    </row>
    <row r="29" spans="1:18" x14ac:dyDescent="0.55000000000000004">
      <c r="A29" s="2">
        <v>42064</v>
      </c>
      <c r="B29">
        <v>40.990802983503634</v>
      </c>
      <c r="C29">
        <v>0.11180555555555556</v>
      </c>
      <c r="D29">
        <v>0.29792001685336816</v>
      </c>
      <c r="E29" s="1">
        <f t="shared" si="1"/>
        <v>41.400528555912558</v>
      </c>
      <c r="F29">
        <v>5.81</v>
      </c>
      <c r="G29">
        <f t="shared" si="0"/>
        <v>35.590528555912556</v>
      </c>
      <c r="H29">
        <v>4.6061428571428573E-2</v>
      </c>
      <c r="I29" s="3">
        <v>0</v>
      </c>
      <c r="J29">
        <v>8.4378582310863162E-3</v>
      </c>
      <c r="K29">
        <v>0</v>
      </c>
      <c r="L29">
        <f t="shared" si="2"/>
        <v>5.4499286802514889E-2</v>
      </c>
      <c r="M29">
        <f t="shared" si="3"/>
        <v>35.536029269110045</v>
      </c>
      <c r="N29">
        <v>0.37923478102598568</v>
      </c>
      <c r="O29">
        <f>+M29+N29</f>
        <v>35.915264050136031</v>
      </c>
      <c r="P29" s="5">
        <f>+(G29-L29)/ABS(G29)</f>
        <v>0.99846871375577073</v>
      </c>
      <c r="Q29" s="5">
        <f>+(G29+N29-L29)/ABS(G29)</f>
        <v>1.0091242110583807</v>
      </c>
      <c r="R29" s="6">
        <f t="shared" si="4"/>
        <v>1.0671838942783667E-2</v>
      </c>
    </row>
    <row r="30" spans="1:18" x14ac:dyDescent="0.55000000000000004">
      <c r="A30" s="2">
        <v>42095</v>
      </c>
      <c r="B30">
        <v>21.452333098893664</v>
      </c>
      <c r="C30">
        <v>0.11180555555555556</v>
      </c>
      <c r="D30">
        <v>0</v>
      </c>
      <c r="E30" s="1">
        <f t="shared" si="1"/>
        <v>21.56413865444922</v>
      </c>
      <c r="F30">
        <v>5.04</v>
      </c>
      <c r="G30">
        <f t="shared" si="0"/>
        <v>16.524138654449221</v>
      </c>
      <c r="H30">
        <v>4.6061428571428573E-2</v>
      </c>
      <c r="I30" s="3">
        <v>0</v>
      </c>
      <c r="J30">
        <v>3.2402787881553062E-2</v>
      </c>
      <c r="K30">
        <v>5.9193287037037037E-2</v>
      </c>
      <c r="L30">
        <f t="shared" si="2"/>
        <v>0.13765750349001865</v>
      </c>
      <c r="M30">
        <f t="shared" si="3"/>
        <v>16.386481150959206</v>
      </c>
      <c r="N30">
        <v>0.33552580054012343</v>
      </c>
      <c r="O30">
        <f>+M30+N30</f>
        <v>16.722006951499328</v>
      </c>
      <c r="P30" s="5">
        <f>+(G30-L30)/ABS(G30)</f>
        <v>0.99166930837554101</v>
      </c>
      <c r="Q30" s="5">
        <f>+(G30+N30-L30)/ABS(G30)</f>
        <v>1.011974499923288</v>
      </c>
      <c r="R30" s="6">
        <f t="shared" si="4"/>
        <v>2.0475768863926082E-2</v>
      </c>
    </row>
    <row r="31" spans="1:18" x14ac:dyDescent="0.55000000000000004">
      <c r="A31" s="2">
        <v>42125</v>
      </c>
      <c r="B31">
        <v>10.145006084696334</v>
      </c>
      <c r="C31">
        <v>0.11180555555555556</v>
      </c>
      <c r="D31">
        <v>0</v>
      </c>
      <c r="E31" s="1">
        <f t="shared" si="1"/>
        <v>10.25681164025189</v>
      </c>
      <c r="F31">
        <v>5.04</v>
      </c>
      <c r="G31">
        <f t="shared" si="0"/>
        <v>5.2168116402518896</v>
      </c>
      <c r="H31">
        <v>4.6061428571428573E-2</v>
      </c>
      <c r="I31" s="3">
        <v>0</v>
      </c>
      <c r="J31">
        <v>2.9318125789978527E-2</v>
      </c>
      <c r="K31">
        <v>5.7283826164874554E-2</v>
      </c>
      <c r="L31">
        <f t="shared" si="2"/>
        <v>0.13266338052628165</v>
      </c>
      <c r="M31">
        <f t="shared" si="3"/>
        <v>5.084148259725608</v>
      </c>
      <c r="N31">
        <v>0.34131589755077657</v>
      </c>
      <c r="O31">
        <f>+M31+N31</f>
        <v>5.4254641572763846</v>
      </c>
      <c r="P31" s="5">
        <f>+(G31-L31)/ABS(G31)</f>
        <v>0.97457002673765769</v>
      </c>
      <c r="Q31" s="5">
        <f>+(G31+N31-L31)/ABS(G31)</f>
        <v>1.0399961760962526</v>
      </c>
      <c r="R31" s="6">
        <f t="shared" si="4"/>
        <v>6.7133348618987274E-2</v>
      </c>
    </row>
    <row r="32" spans="1:18" x14ac:dyDescent="0.55000000000000004">
      <c r="A32" s="2">
        <v>42156</v>
      </c>
      <c r="B32">
        <v>6.3591552399245996</v>
      </c>
      <c r="C32">
        <v>0.11180555555555556</v>
      </c>
      <c r="D32">
        <v>0</v>
      </c>
      <c r="E32" s="1">
        <f t="shared" si="1"/>
        <v>6.4709607954801553</v>
      </c>
      <c r="F32">
        <v>5.04</v>
      </c>
      <c r="G32">
        <f t="shared" si="0"/>
        <v>1.4309607954801553</v>
      </c>
      <c r="H32">
        <v>4.6061428571428573E-2</v>
      </c>
      <c r="I32" s="3">
        <v>0</v>
      </c>
      <c r="J32">
        <v>3.8092097086458464E-2</v>
      </c>
      <c r="K32">
        <v>5.9193287037037037E-2</v>
      </c>
      <c r="L32">
        <f t="shared" si="2"/>
        <v>0.14334681269492405</v>
      </c>
      <c r="M32">
        <f t="shared" si="3"/>
        <v>1.2876139827852313</v>
      </c>
      <c r="N32">
        <v>0.32141473765432099</v>
      </c>
      <c r="O32">
        <f>+M32+N32</f>
        <v>1.6090287204395524</v>
      </c>
      <c r="P32" s="5">
        <f>+(G32-L32)/ABS(G32)</f>
        <v>0.8998247798628024</v>
      </c>
      <c r="Q32" s="5">
        <f>+(G32+N32-L32)/ABS(G32)</f>
        <v>1.1244394154765414</v>
      </c>
      <c r="R32" s="6">
        <f t="shared" si="4"/>
        <v>0.24962041570802959</v>
      </c>
    </row>
    <row r="33" spans="1:18" x14ac:dyDescent="0.55000000000000004">
      <c r="A33" s="2">
        <v>42186</v>
      </c>
      <c r="B33">
        <v>5.6159645315449378</v>
      </c>
      <c r="C33">
        <v>0.11180555555555556</v>
      </c>
      <c r="D33">
        <v>0</v>
      </c>
      <c r="E33" s="1">
        <f t="shared" si="1"/>
        <v>5.7277700871004935</v>
      </c>
      <c r="F33">
        <v>3.87</v>
      </c>
      <c r="G33">
        <f t="shared" si="0"/>
        <v>1.8577700871004934</v>
      </c>
      <c r="H33">
        <v>4.6061428571428573E-2</v>
      </c>
      <c r="I33" s="3">
        <v>0</v>
      </c>
      <c r="J33">
        <v>4.9826197759457361E-2</v>
      </c>
      <c r="K33">
        <v>5.7283826164874554E-2</v>
      </c>
      <c r="L33">
        <f t="shared" si="2"/>
        <v>0.15317145249576047</v>
      </c>
      <c r="M33">
        <f t="shared" si="3"/>
        <v>1.704598634604733</v>
      </c>
      <c r="N33">
        <v>0.30692558990442054</v>
      </c>
      <c r="O33">
        <f>+M33+N33</f>
        <v>2.0115242245091536</v>
      </c>
      <c r="P33" s="5">
        <f>+(G33-L33)/ABS(G33)</f>
        <v>0.91755091033098612</v>
      </c>
      <c r="Q33" s="5">
        <f>+(G33+N33-L33)/ABS(G33)</f>
        <v>1.0827627371525996</v>
      </c>
      <c r="R33" s="6">
        <f t="shared" si="4"/>
        <v>0.18005739513899779</v>
      </c>
    </row>
    <row r="34" spans="1:18" x14ac:dyDescent="0.55000000000000004">
      <c r="A34" s="2">
        <v>42217</v>
      </c>
      <c r="B34">
        <v>4.6836315319384498</v>
      </c>
      <c r="C34">
        <v>0.11180555555555556</v>
      </c>
      <c r="D34">
        <v>0</v>
      </c>
      <c r="E34" s="1">
        <f t="shared" si="1"/>
        <v>4.7954370874940055</v>
      </c>
      <c r="F34">
        <v>3.87</v>
      </c>
      <c r="G34">
        <f t="shared" si="0"/>
        <v>0.92543708749400544</v>
      </c>
      <c r="H34">
        <v>4.6061428571428573E-2</v>
      </c>
      <c r="I34" s="3">
        <v>0</v>
      </c>
      <c r="J34">
        <v>4.0115129805216435E-2</v>
      </c>
      <c r="K34">
        <v>5.7283826164874554E-2</v>
      </c>
      <c r="L34">
        <f t="shared" si="2"/>
        <v>0.14346038454151955</v>
      </c>
      <c r="M34">
        <f t="shared" si="3"/>
        <v>0.78197670295248578</v>
      </c>
      <c r="N34">
        <v>0.30970857134856633</v>
      </c>
      <c r="O34">
        <f>+M34+N34</f>
        <v>1.0916852743010521</v>
      </c>
      <c r="P34" s="5">
        <f>+(G34-L34)/ABS(G34)</f>
        <v>0.84498094308064042</v>
      </c>
      <c r="Q34" s="5">
        <f>+(G34+N34-L34)/ABS(G34)</f>
        <v>1.1796428834046739</v>
      </c>
      <c r="R34" s="6">
        <f t="shared" si="4"/>
        <v>0.3960585656570188</v>
      </c>
    </row>
    <row r="35" spans="1:18" x14ac:dyDescent="0.55000000000000004">
      <c r="A35" s="2">
        <v>42248</v>
      </c>
      <c r="B35">
        <v>4.6710491040388975</v>
      </c>
      <c r="C35">
        <v>0.11180555555555556</v>
      </c>
      <c r="D35">
        <v>0</v>
      </c>
      <c r="E35" s="1">
        <f t="shared" si="1"/>
        <v>4.7828546595944532</v>
      </c>
      <c r="F35">
        <v>3.87</v>
      </c>
      <c r="G35">
        <f t="shared" ref="G35:G66" si="5">E35-F35</f>
        <v>0.91285465959445311</v>
      </c>
      <c r="H35">
        <v>4.6061428571428573E-2</v>
      </c>
      <c r="I35" s="3">
        <v>0</v>
      </c>
      <c r="J35">
        <v>3.1370221309604131E-2</v>
      </c>
      <c r="K35">
        <v>5.9193287037037037E-2</v>
      </c>
      <c r="L35">
        <f t="shared" si="2"/>
        <v>0.13662493691806976</v>
      </c>
      <c r="M35">
        <f t="shared" si="3"/>
        <v>0.77622972267638335</v>
      </c>
      <c r="N35">
        <v>0.30139578510802467</v>
      </c>
      <c r="O35">
        <f>+M35+N35</f>
        <v>1.0776255077844081</v>
      </c>
      <c r="P35" s="5">
        <f>+(G35-L35)/ABS(G35)</f>
        <v>0.85033221282042082</v>
      </c>
      <c r="Q35" s="5">
        <f>+(G35+N35-L35)/ABS(G35)</f>
        <v>1.1805006377062877</v>
      </c>
      <c r="R35" s="6">
        <f t="shared" si="4"/>
        <v>0.38828168556704334</v>
      </c>
    </row>
    <row r="36" spans="1:18" x14ac:dyDescent="0.55000000000000004">
      <c r="A36" s="2">
        <v>42278</v>
      </c>
      <c r="B36">
        <v>9.2960366073200404</v>
      </c>
      <c r="C36">
        <v>0.11180555555555556</v>
      </c>
      <c r="D36">
        <v>4.79699188362155E-2</v>
      </c>
      <c r="E36" s="1">
        <f t="shared" si="1"/>
        <v>9.4558120817118123</v>
      </c>
      <c r="F36">
        <v>3.87</v>
      </c>
      <c r="G36">
        <f t="shared" si="5"/>
        <v>5.5858120817118122</v>
      </c>
      <c r="H36">
        <v>4.6061428571428573E-2</v>
      </c>
      <c r="I36" s="3">
        <v>0</v>
      </c>
      <c r="J36">
        <v>0</v>
      </c>
      <c r="K36">
        <v>0</v>
      </c>
      <c r="L36">
        <f t="shared" si="2"/>
        <v>4.6061428571428573E-2</v>
      </c>
      <c r="M36">
        <f t="shared" si="3"/>
        <v>5.5397506531403833</v>
      </c>
      <c r="N36">
        <v>0.29510608012246115</v>
      </c>
      <c r="O36">
        <f>+M36+N36</f>
        <v>5.8348567332628445</v>
      </c>
      <c r="P36" s="5">
        <f>+(G36-L36)/ABS(G36)</f>
        <v>0.9917538528153792</v>
      </c>
      <c r="Q36" s="5">
        <f>+(G36+N36-L36)/ABS(G36)</f>
        <v>1.0445852183904316</v>
      </c>
      <c r="R36" s="6">
        <f t="shared" si="4"/>
        <v>5.3270643138995988E-2</v>
      </c>
    </row>
    <row r="37" spans="1:18" x14ac:dyDescent="0.55000000000000004">
      <c r="A37" s="2">
        <v>42309</v>
      </c>
      <c r="B37">
        <v>5.420246889981402</v>
      </c>
      <c r="C37">
        <v>0.11180555555555556</v>
      </c>
      <c r="D37">
        <v>9.3508138657348264E-2</v>
      </c>
      <c r="E37" s="1">
        <f t="shared" si="1"/>
        <v>5.6255605841943064</v>
      </c>
      <c r="F37">
        <v>5.04</v>
      </c>
      <c r="G37">
        <f t="shared" si="5"/>
        <v>0.58556058419430634</v>
      </c>
      <c r="H37">
        <v>4.6061428571428573E-2</v>
      </c>
      <c r="I37" s="3">
        <v>0</v>
      </c>
      <c r="J37">
        <v>2.8654064338569398E-2</v>
      </c>
      <c r="K37">
        <v>0</v>
      </c>
      <c r="L37">
        <f t="shared" si="2"/>
        <v>7.4715492909997974E-2</v>
      </c>
      <c r="M37">
        <f t="shared" si="3"/>
        <v>0.51084509128430833</v>
      </c>
      <c r="N37">
        <v>0.27756004050925925</v>
      </c>
      <c r="O37">
        <f>+M37+N37</f>
        <v>0.78840513179356764</v>
      </c>
      <c r="P37" s="5">
        <f>+(G37-L37)/ABS(G37)</f>
        <v>0.87240347979910271</v>
      </c>
      <c r="Q37" s="5">
        <f>+(G37+N37-L37)/ABS(G37)</f>
        <v>1.3464108634947864</v>
      </c>
      <c r="R37" s="6">
        <f t="shared" si="4"/>
        <v>0.54333504470298344</v>
      </c>
    </row>
    <row r="38" spans="1:18" x14ac:dyDescent="0.55000000000000004">
      <c r="A38" s="2">
        <v>42339</v>
      </c>
      <c r="B38">
        <v>5.0154368946095511</v>
      </c>
      <c r="C38">
        <v>0.11180555555555556</v>
      </c>
      <c r="D38">
        <v>0</v>
      </c>
      <c r="E38" s="1">
        <f t="shared" si="1"/>
        <v>5.1272424501651068</v>
      </c>
      <c r="F38">
        <v>5.04</v>
      </c>
      <c r="G38">
        <f t="shared" si="5"/>
        <v>8.7242450165106789E-2</v>
      </c>
      <c r="H38">
        <v>4.6061428571428573E-2</v>
      </c>
      <c r="I38" s="3">
        <v>0</v>
      </c>
      <c r="J38">
        <v>4.0834169882677532E-2</v>
      </c>
      <c r="K38">
        <v>0</v>
      </c>
      <c r="L38">
        <f t="shared" si="2"/>
        <v>8.6895598454106104E-2</v>
      </c>
      <c r="M38">
        <f t="shared" si="3"/>
        <v>3.4685171100068413E-4</v>
      </c>
      <c r="N38">
        <v>0.26966673200418162</v>
      </c>
      <c r="O38">
        <f>+M38+N38</f>
        <v>0.2700135837151823</v>
      </c>
      <c r="P38" s="5">
        <f>+(G38-L38)/ABS(G38)</f>
        <v>3.9757217999295694E-3</v>
      </c>
      <c r="Q38" s="5">
        <f>+(G38+N38-L38)/ABS(G38)</f>
        <v>3.0949793730480999</v>
      </c>
      <c r="R38" s="6">
        <f t="shared" si="4"/>
        <v>777.4698046787197</v>
      </c>
    </row>
    <row r="39" spans="1:18" x14ac:dyDescent="0.55000000000000004">
      <c r="A39" s="2">
        <v>42370</v>
      </c>
      <c r="B39">
        <v>6.1136510051707393</v>
      </c>
      <c r="C39">
        <v>0.11180555555555556</v>
      </c>
      <c r="D39">
        <v>0</v>
      </c>
      <c r="E39" s="1">
        <f t="shared" si="1"/>
        <v>6.2254565607262951</v>
      </c>
      <c r="F39">
        <v>5.04</v>
      </c>
      <c r="G39">
        <f t="shared" si="5"/>
        <v>1.185456560726295</v>
      </c>
      <c r="H39">
        <v>4.6061428571428573E-2</v>
      </c>
      <c r="I39" s="3">
        <v>0</v>
      </c>
      <c r="J39">
        <v>4.0429978107220398E-2</v>
      </c>
      <c r="K39">
        <v>0</v>
      </c>
      <c r="L39">
        <f t="shared" si="2"/>
        <v>8.6491406678648963E-2</v>
      </c>
      <c r="M39">
        <f t="shared" si="3"/>
        <v>1.0989651540476462</v>
      </c>
      <c r="N39">
        <v>0.27236237119175627</v>
      </c>
      <c r="O39">
        <f>+M39+N39</f>
        <v>1.3713275252394024</v>
      </c>
      <c r="P39" s="5">
        <f>+(G39-L39)/ABS(G39)</f>
        <v>0.92703958158900546</v>
      </c>
      <c r="Q39" s="5">
        <f>+(G39+N39-L39)/ABS(G39)</f>
        <v>1.156792724989627</v>
      </c>
      <c r="R39" s="6">
        <f t="shared" si="4"/>
        <v>0.24783531141875292</v>
      </c>
    </row>
    <row r="40" spans="1:18" x14ac:dyDescent="0.55000000000000004">
      <c r="A40" s="2">
        <v>42401</v>
      </c>
      <c r="B40">
        <v>9.6885370052043651</v>
      </c>
      <c r="C40">
        <v>0.11180555555555556</v>
      </c>
      <c r="D40">
        <v>3.5118082581895534E-2</v>
      </c>
      <c r="E40" s="1">
        <f t="shared" si="1"/>
        <v>9.8354606433418166</v>
      </c>
      <c r="F40">
        <v>5.81</v>
      </c>
      <c r="G40">
        <f t="shared" si="5"/>
        <v>4.025460643341817</v>
      </c>
      <c r="H40">
        <v>4.6061428571428573E-2</v>
      </c>
      <c r="I40" s="3">
        <v>0</v>
      </c>
      <c r="J40">
        <v>3.0680161582274591E-2</v>
      </c>
      <c r="K40">
        <v>0</v>
      </c>
      <c r="L40">
        <f t="shared" si="2"/>
        <v>7.674159015370316E-2</v>
      </c>
      <c r="M40">
        <f t="shared" si="3"/>
        <v>3.948719053188114</v>
      </c>
      <c r="N40">
        <v>0.31979280340608468</v>
      </c>
      <c r="O40">
        <f>+M40+N40</f>
        <v>4.2685118565941984</v>
      </c>
      <c r="P40" s="5">
        <f>+(G40-L40)/ABS(G40)</f>
        <v>0.98093594821734631</v>
      </c>
      <c r="Q40" s="5">
        <f>+(G40+N40-L40)/ABS(G40)</f>
        <v>1.0603784845479467</v>
      </c>
      <c r="R40" s="6">
        <f t="shared" si="4"/>
        <v>8.098646652207131E-2</v>
      </c>
    </row>
    <row r="41" spans="1:18" x14ac:dyDescent="0.55000000000000004">
      <c r="A41" s="2">
        <v>42430</v>
      </c>
      <c r="B41">
        <v>23.337245508076034</v>
      </c>
      <c r="C41">
        <v>0.11180555555555556</v>
      </c>
      <c r="D41">
        <v>0.23914098722808783</v>
      </c>
      <c r="E41" s="1">
        <f t="shared" si="1"/>
        <v>23.688192050859676</v>
      </c>
      <c r="F41">
        <v>5.81</v>
      </c>
      <c r="G41">
        <f t="shared" si="5"/>
        <v>17.878192050859678</v>
      </c>
      <c r="H41">
        <v>4.6061428571428573E-2</v>
      </c>
      <c r="I41" s="3">
        <v>0</v>
      </c>
      <c r="J41">
        <v>0</v>
      </c>
      <c r="K41">
        <v>0</v>
      </c>
      <c r="L41">
        <f t="shared" si="2"/>
        <v>4.6061428571428573E-2</v>
      </c>
      <c r="M41">
        <f t="shared" si="3"/>
        <v>17.832130622288251</v>
      </c>
      <c r="N41">
        <v>0.37923478102598568</v>
      </c>
      <c r="O41">
        <f>+M41+N41</f>
        <v>18.211365403314236</v>
      </c>
      <c r="P41" s="5">
        <f>+(G41-L41)/ABS(G41)</f>
        <v>0.99742359694758886</v>
      </c>
      <c r="Q41" s="5">
        <f>+(G41+N41-L41)/ABS(G41)</f>
        <v>1.0186357407676767</v>
      </c>
      <c r="R41" s="6">
        <f t="shared" si="4"/>
        <v>2.1266936018962537E-2</v>
      </c>
    </row>
    <row r="42" spans="1:18" x14ac:dyDescent="0.55000000000000004">
      <c r="A42" s="2">
        <v>42461</v>
      </c>
      <c r="B42">
        <v>16.162947922042939</v>
      </c>
      <c r="C42">
        <v>0.11180555555555556</v>
      </c>
      <c r="D42">
        <v>4.9461418515482553E-2</v>
      </c>
      <c r="E42" s="1">
        <f t="shared" si="1"/>
        <v>16.324214896113975</v>
      </c>
      <c r="F42">
        <v>5.04</v>
      </c>
      <c r="G42">
        <f t="shared" si="5"/>
        <v>11.284214896113976</v>
      </c>
      <c r="H42">
        <v>4.6061428571428573E-2</v>
      </c>
      <c r="I42" s="3">
        <v>0</v>
      </c>
      <c r="J42">
        <v>1.9638595583227694E-2</v>
      </c>
      <c r="K42">
        <v>5.9193287037037037E-2</v>
      </c>
      <c r="L42">
        <f t="shared" si="2"/>
        <v>0.12489331119169331</v>
      </c>
      <c r="M42">
        <f t="shared" si="3"/>
        <v>11.159321584922283</v>
      </c>
      <c r="N42">
        <v>0.33552580054012343</v>
      </c>
      <c r="O42">
        <f>+M42+N42</f>
        <v>11.494847385462407</v>
      </c>
      <c r="P42" s="5">
        <f>+(G42-L42)/ABS(G42)</f>
        <v>0.9889320336114209</v>
      </c>
      <c r="Q42" s="5">
        <f>+(G42+N42-L42)/ABS(G42)</f>
        <v>1.0186661182268841</v>
      </c>
      <c r="R42" s="6">
        <f t="shared" si="4"/>
        <v>3.0066863651771022E-2</v>
      </c>
    </row>
    <row r="43" spans="1:18" x14ac:dyDescent="0.55000000000000004">
      <c r="A43" s="2">
        <v>42491</v>
      </c>
      <c r="B43">
        <v>18.539896681868164</v>
      </c>
      <c r="C43">
        <v>0.11180555555555556</v>
      </c>
      <c r="D43">
        <v>0</v>
      </c>
      <c r="E43" s="1">
        <f t="shared" si="1"/>
        <v>18.65170223742372</v>
      </c>
      <c r="F43">
        <v>5.04</v>
      </c>
      <c r="G43">
        <f t="shared" si="5"/>
        <v>13.611702237423721</v>
      </c>
      <c r="H43">
        <v>4.6061428571428573E-2</v>
      </c>
      <c r="I43" s="3">
        <v>0</v>
      </c>
      <c r="J43">
        <v>2.8794862469045668E-2</v>
      </c>
      <c r="K43">
        <v>5.7283826164874554E-2</v>
      </c>
      <c r="L43">
        <f t="shared" si="2"/>
        <v>0.13214011720534879</v>
      </c>
      <c r="M43">
        <f t="shared" si="3"/>
        <v>13.479562120218372</v>
      </c>
      <c r="N43">
        <v>0.34131589755077657</v>
      </c>
      <c r="O43">
        <f>+M43+N43</f>
        <v>13.820878017769148</v>
      </c>
      <c r="P43" s="5">
        <f>+(G43-L43)/ABS(G43)</f>
        <v>0.99029216809914888</v>
      </c>
      <c r="Q43" s="5">
        <f>+(G43+N43-L43)/ABS(G43)</f>
        <v>1.0153673491159925</v>
      </c>
      <c r="R43" s="6">
        <f t="shared" si="4"/>
        <v>2.5320992960062506E-2</v>
      </c>
    </row>
    <row r="44" spans="1:18" x14ac:dyDescent="0.55000000000000004">
      <c r="A44" s="2">
        <v>42522</v>
      </c>
      <c r="B44">
        <v>11.963524705010814</v>
      </c>
      <c r="C44">
        <v>0.11180555555555556</v>
      </c>
      <c r="D44">
        <v>0</v>
      </c>
      <c r="E44" s="1">
        <f t="shared" si="1"/>
        <v>12.075330260566369</v>
      </c>
      <c r="F44">
        <v>5.04</v>
      </c>
      <c r="G44">
        <f t="shared" si="5"/>
        <v>7.0353302605663695</v>
      </c>
      <c r="H44">
        <v>4.6061428571428573E-2</v>
      </c>
      <c r="I44" s="3">
        <v>0</v>
      </c>
      <c r="J44">
        <v>3.4901633162829827E-2</v>
      </c>
      <c r="K44">
        <v>5.9193287037037037E-2</v>
      </c>
      <c r="L44">
        <f t="shared" si="2"/>
        <v>0.14015634877129546</v>
      </c>
      <c r="M44">
        <f t="shared" si="3"/>
        <v>6.895173911795073</v>
      </c>
      <c r="N44">
        <v>0.32141473765432099</v>
      </c>
      <c r="O44">
        <f>+M44+N44</f>
        <v>7.2165886494493936</v>
      </c>
      <c r="P44" s="5">
        <f>+(G44-L44)/ABS(G44)</f>
        <v>0.98007821330622047</v>
      </c>
      <c r="Q44" s="5">
        <f>+(G44+N44-L44)/ABS(G44)</f>
        <v>1.0257640199066409</v>
      </c>
      <c r="R44" s="6">
        <f t="shared" si="4"/>
        <v>4.6614449724683482E-2</v>
      </c>
    </row>
    <row r="45" spans="1:18" x14ac:dyDescent="0.55000000000000004">
      <c r="A45" s="2">
        <v>42552</v>
      </c>
      <c r="B45">
        <v>10.182383400735143</v>
      </c>
      <c r="C45">
        <v>0.11180555555555556</v>
      </c>
      <c r="D45">
        <v>0</v>
      </c>
      <c r="E45" s="1">
        <f t="shared" si="1"/>
        <v>10.294188956290698</v>
      </c>
      <c r="F45">
        <v>3.87</v>
      </c>
      <c r="G45">
        <f t="shared" si="5"/>
        <v>6.4241889562906982</v>
      </c>
      <c r="H45">
        <v>4.6061428571428573E-2</v>
      </c>
      <c r="I45" s="3">
        <v>0</v>
      </c>
      <c r="J45">
        <v>3.0638879759296689E-2</v>
      </c>
      <c r="K45">
        <v>5.7283826164874554E-2</v>
      </c>
      <c r="L45">
        <f t="shared" si="2"/>
        <v>0.13398413449559982</v>
      </c>
      <c r="M45">
        <f t="shared" si="3"/>
        <v>6.2902048217950979</v>
      </c>
      <c r="N45">
        <v>0.30692558990442054</v>
      </c>
      <c r="O45">
        <f>+M45+N45</f>
        <v>6.5971304116995189</v>
      </c>
      <c r="P45" s="5">
        <f>+(G45-L45)/ABS(G45)</f>
        <v>0.9791438054815621</v>
      </c>
      <c r="Q45" s="5">
        <f>+(G45+N45-L45)/ABS(G45)</f>
        <v>1.0269203562637232</v>
      </c>
      <c r="R45" s="6">
        <f t="shared" si="4"/>
        <v>4.8794212366654044E-2</v>
      </c>
    </row>
    <row r="46" spans="1:18" x14ac:dyDescent="0.55000000000000004">
      <c r="A46" s="2">
        <v>42583</v>
      </c>
      <c r="B46">
        <v>8.3869034110616365</v>
      </c>
      <c r="C46">
        <v>0.11180555555555556</v>
      </c>
      <c r="D46">
        <v>0</v>
      </c>
      <c r="E46" s="1">
        <f t="shared" si="1"/>
        <v>8.4987089666171922</v>
      </c>
      <c r="F46">
        <v>3.87</v>
      </c>
      <c r="G46">
        <f t="shared" si="5"/>
        <v>4.6287089666171921</v>
      </c>
      <c r="H46">
        <v>4.6061428571428573E-2</v>
      </c>
      <c r="I46" s="3">
        <v>0</v>
      </c>
      <c r="J46">
        <v>4.9676856201695048E-2</v>
      </c>
      <c r="K46">
        <v>5.7283826164874554E-2</v>
      </c>
      <c r="L46">
        <f t="shared" si="2"/>
        <v>0.15302211093799817</v>
      </c>
      <c r="M46">
        <f t="shared" si="3"/>
        <v>4.4756868556791938</v>
      </c>
      <c r="N46">
        <v>0.30970857134856633</v>
      </c>
      <c r="O46">
        <f>+M46+N46</f>
        <v>4.7853954270277601</v>
      </c>
      <c r="P46" s="5">
        <f>+(G46-L46)/ABS(G46)</f>
        <v>0.96694064974885818</v>
      </c>
      <c r="Q46" s="5">
        <f>+(G46+N46-L46)/ABS(G46)</f>
        <v>1.0338510071686533</v>
      </c>
      <c r="R46" s="6">
        <f t="shared" si="4"/>
        <v>6.9197998281666645E-2</v>
      </c>
    </row>
    <row r="47" spans="1:18" x14ac:dyDescent="0.55000000000000004">
      <c r="A47" s="2">
        <v>42614</v>
      </c>
      <c r="B47">
        <v>13.398200590287514</v>
      </c>
      <c r="C47">
        <v>0.11180555555555556</v>
      </c>
      <c r="D47">
        <v>0</v>
      </c>
      <c r="E47" s="1">
        <f t="shared" si="1"/>
        <v>13.51000614584307</v>
      </c>
      <c r="F47">
        <v>3.87</v>
      </c>
      <c r="G47">
        <f t="shared" si="5"/>
        <v>9.6400061458430706</v>
      </c>
      <c r="H47">
        <v>4.6061428571428573E-2</v>
      </c>
      <c r="I47" s="3">
        <v>0</v>
      </c>
      <c r="J47">
        <v>2.0014421482897161E-2</v>
      </c>
      <c r="K47">
        <v>5.9193287037037037E-2</v>
      </c>
      <c r="L47">
        <f t="shared" si="2"/>
        <v>0.12526913709136278</v>
      </c>
      <c r="M47">
        <f t="shared" si="3"/>
        <v>9.5147370087517089</v>
      </c>
      <c r="N47">
        <v>0.30139578510802467</v>
      </c>
      <c r="O47">
        <f>+M47+N47</f>
        <v>9.8161327938597331</v>
      </c>
      <c r="P47" s="5">
        <f>+(G47-L47)/ABS(G47)</f>
        <v>0.9870052845199293</v>
      </c>
      <c r="Q47" s="5">
        <f>+(G47+N47-L47)/ABS(G47)</f>
        <v>1.0182703875238306</v>
      </c>
      <c r="R47" s="6">
        <f t="shared" si="4"/>
        <v>3.1676733138372562E-2</v>
      </c>
    </row>
    <row r="48" spans="1:18" x14ac:dyDescent="0.55000000000000004">
      <c r="A48" s="2">
        <v>42644</v>
      </c>
      <c r="B48">
        <v>13.794771673722815</v>
      </c>
      <c r="C48">
        <v>0.11180555555555556</v>
      </c>
      <c r="D48">
        <v>0</v>
      </c>
      <c r="E48" s="1">
        <f t="shared" si="1"/>
        <v>13.906577229278371</v>
      </c>
      <c r="F48">
        <v>3.87</v>
      </c>
      <c r="G48">
        <f t="shared" si="5"/>
        <v>10.036577229278372</v>
      </c>
      <c r="H48">
        <v>4.6061428571428573E-2</v>
      </c>
      <c r="I48" s="3">
        <v>0</v>
      </c>
      <c r="J48">
        <v>4.9214446758534909E-3</v>
      </c>
      <c r="K48">
        <v>0</v>
      </c>
      <c r="L48">
        <f t="shared" si="2"/>
        <v>5.0982873247282061E-2</v>
      </c>
      <c r="M48">
        <f t="shared" si="3"/>
        <v>9.9855943560310898</v>
      </c>
      <c r="N48">
        <v>0.29510608012246115</v>
      </c>
      <c r="O48">
        <f>+M48+N48</f>
        <v>10.28070043615355</v>
      </c>
      <c r="P48" s="5">
        <f>+(G48-L48)/ABS(G48)</f>
        <v>0.99492029283662997</v>
      </c>
      <c r="Q48" s="5">
        <f>+(G48+N48-L48)/ABS(G48)</f>
        <v>1.02432335260302</v>
      </c>
      <c r="R48" s="6">
        <f t="shared" si="4"/>
        <v>2.9553181273002861E-2</v>
      </c>
    </row>
    <row r="49" spans="1:18" x14ac:dyDescent="0.55000000000000004">
      <c r="A49" s="2">
        <v>42675</v>
      </c>
      <c r="B49">
        <v>14.423796270434098</v>
      </c>
      <c r="C49">
        <v>0.11180555555555556</v>
      </c>
      <c r="D49">
        <v>0</v>
      </c>
      <c r="E49" s="1">
        <f t="shared" si="1"/>
        <v>14.535601825989653</v>
      </c>
      <c r="F49">
        <v>5.04</v>
      </c>
      <c r="G49">
        <f t="shared" si="5"/>
        <v>9.4956018259896524</v>
      </c>
      <c r="H49">
        <v>4.6061428571428573E-2</v>
      </c>
      <c r="I49" s="3">
        <v>0</v>
      </c>
      <c r="J49">
        <v>3.1470261720793015E-2</v>
      </c>
      <c r="K49">
        <v>0</v>
      </c>
      <c r="L49">
        <f t="shared" si="2"/>
        <v>7.7531690292221594E-2</v>
      </c>
      <c r="M49">
        <f t="shared" si="3"/>
        <v>9.4180701356974303</v>
      </c>
      <c r="N49">
        <v>0.27756004050925925</v>
      </c>
      <c r="O49">
        <f>+M49+N49</f>
        <v>9.6956301762066897</v>
      </c>
      <c r="P49" s="5">
        <f>+(G49-L49)/ABS(G49)</f>
        <v>0.9918349893231605</v>
      </c>
      <c r="Q49" s="5">
        <f>+(G49+N49-L49)/ABS(G49)</f>
        <v>1.0210653683550164</v>
      </c>
      <c r="R49" s="6">
        <f t="shared" si="4"/>
        <v>2.9471010144341676E-2</v>
      </c>
    </row>
    <row r="50" spans="1:18" x14ac:dyDescent="0.55000000000000004">
      <c r="A50" s="2">
        <v>42705</v>
      </c>
      <c r="B50">
        <v>10.096302160309351</v>
      </c>
      <c r="C50">
        <v>0.11180555555555556</v>
      </c>
      <c r="D50">
        <v>0</v>
      </c>
      <c r="E50" s="1">
        <f t="shared" si="1"/>
        <v>10.208107715864907</v>
      </c>
      <c r="F50">
        <v>5.04</v>
      </c>
      <c r="G50">
        <f t="shared" si="5"/>
        <v>5.1681077158649069</v>
      </c>
      <c r="H50">
        <v>4.6061428571428573E-2</v>
      </c>
      <c r="I50" s="3">
        <v>0</v>
      </c>
      <c r="J50">
        <v>4.4899530954755823E-2</v>
      </c>
      <c r="K50">
        <v>0</v>
      </c>
      <c r="L50">
        <f t="shared" si="2"/>
        <v>9.0960959526184396E-2</v>
      </c>
      <c r="M50">
        <f t="shared" si="3"/>
        <v>5.0771467563387223</v>
      </c>
      <c r="N50">
        <v>0.26966673200418162</v>
      </c>
      <c r="O50">
        <f>+M50+N50</f>
        <v>5.3468134883429039</v>
      </c>
      <c r="P50" s="5">
        <f>+(G50-L50)/ABS(G50)</f>
        <v>0.98239956198146661</v>
      </c>
      <c r="Q50" s="5">
        <f>+(G50+N50-L50)/ABS(G50)</f>
        <v>1.0345785696241221</v>
      </c>
      <c r="R50" s="6">
        <f t="shared" si="4"/>
        <v>5.3113834392812836E-2</v>
      </c>
    </row>
    <row r="51" spans="1:18" x14ac:dyDescent="0.55000000000000004">
      <c r="A51" s="2">
        <v>42736</v>
      </c>
      <c r="B51">
        <v>21.671323716703011</v>
      </c>
      <c r="C51">
        <v>0.11180555555555556</v>
      </c>
      <c r="D51">
        <v>0.4216746878706476</v>
      </c>
      <c r="E51" s="1">
        <f t="shared" si="1"/>
        <v>22.204803960129215</v>
      </c>
      <c r="F51">
        <v>5.04</v>
      </c>
      <c r="G51">
        <f t="shared" si="5"/>
        <v>17.164803960129216</v>
      </c>
      <c r="H51">
        <v>4.6061428571428573E-2</v>
      </c>
      <c r="I51" s="3">
        <v>0</v>
      </c>
      <c r="J51">
        <v>0</v>
      </c>
      <c r="K51">
        <v>0</v>
      </c>
      <c r="L51">
        <f t="shared" si="2"/>
        <v>4.6061428571428573E-2</v>
      </c>
      <c r="M51">
        <f t="shared" si="3"/>
        <v>17.118742531557789</v>
      </c>
      <c r="N51">
        <v>0.27236237119175627</v>
      </c>
      <c r="O51">
        <f>+M51+N51</f>
        <v>17.391104902749547</v>
      </c>
      <c r="P51" s="5">
        <f>+(G51-L51)/ABS(G51)</f>
        <v>0.99731651880916206</v>
      </c>
      <c r="Q51" s="5">
        <f>+(G51+N51-L51)/ABS(G51)</f>
        <v>1.0131840097414446</v>
      </c>
      <c r="R51" s="6">
        <f t="shared" si="4"/>
        <v>1.5910185616126185E-2</v>
      </c>
    </row>
    <row r="52" spans="1:18" x14ac:dyDescent="0.55000000000000004">
      <c r="A52" s="2">
        <v>42767</v>
      </c>
      <c r="B52">
        <v>54.934192813813979</v>
      </c>
      <c r="C52">
        <v>0.11180555555555556</v>
      </c>
      <c r="D52">
        <v>0.23030350737868269</v>
      </c>
      <c r="E52" s="1">
        <f t="shared" si="1"/>
        <v>55.276301876748221</v>
      </c>
      <c r="F52">
        <v>5.81</v>
      </c>
      <c r="G52">
        <f t="shared" si="5"/>
        <v>49.466301876748219</v>
      </c>
      <c r="H52">
        <v>4.6061428571428573E-2</v>
      </c>
      <c r="I52" s="3">
        <v>0</v>
      </c>
      <c r="J52">
        <v>2.2707479461012332E-2</v>
      </c>
      <c r="K52">
        <v>0</v>
      </c>
      <c r="L52">
        <f t="shared" si="2"/>
        <v>6.8768908032440901E-2</v>
      </c>
      <c r="M52">
        <f t="shared" si="3"/>
        <v>49.39753296871578</v>
      </c>
      <c r="N52">
        <v>0.31979280340608468</v>
      </c>
      <c r="O52">
        <f>+M52+N52</f>
        <v>49.717325772121868</v>
      </c>
      <c r="P52" s="5">
        <f>+(G52-L52)/ABS(G52)</f>
        <v>0.99860978271220302</v>
      </c>
      <c r="Q52" s="5">
        <f>+(G52+N52-L52)/ABS(G52)</f>
        <v>1.0050746444720915</v>
      </c>
      <c r="R52" s="6">
        <f t="shared" si="4"/>
        <v>6.4738618345296459E-3</v>
      </c>
    </row>
    <row r="53" spans="1:18" x14ac:dyDescent="0.55000000000000004">
      <c r="A53" s="2">
        <v>42795</v>
      </c>
      <c r="B53">
        <v>37.029489655507788</v>
      </c>
      <c r="C53">
        <v>0.11180555555555556</v>
      </c>
      <c r="D53">
        <v>4.0179909930897977E-2</v>
      </c>
      <c r="E53" s="1">
        <f t="shared" si="1"/>
        <v>37.181475120994243</v>
      </c>
      <c r="F53">
        <v>5.81</v>
      </c>
      <c r="G53">
        <f t="shared" si="5"/>
        <v>31.371475120994244</v>
      </c>
      <c r="H53">
        <v>4.6061428571428573E-2</v>
      </c>
      <c r="I53" s="3">
        <v>0</v>
      </c>
      <c r="J53">
        <v>3.1290993409027225E-2</v>
      </c>
      <c r="K53">
        <v>0</v>
      </c>
      <c r="L53">
        <f t="shared" si="2"/>
        <v>7.7352421980455804E-2</v>
      </c>
      <c r="M53">
        <f t="shared" si="3"/>
        <v>31.294122699013791</v>
      </c>
      <c r="N53">
        <v>0.37923478102598568</v>
      </c>
      <c r="O53">
        <f>+M53+N53</f>
        <v>31.673357480039776</v>
      </c>
      <c r="P53" s="5">
        <f>+(G53-L53)/ABS(G53)</f>
        <v>0.99753430714742863</v>
      </c>
      <c r="Q53" s="5">
        <f>+(G53+N53-L53)/ABS(G53)</f>
        <v>1.0096228295890206</v>
      </c>
      <c r="R53" s="6">
        <f t="shared" si="4"/>
        <v>1.2118402700515217E-2</v>
      </c>
    </row>
    <row r="54" spans="1:18" x14ac:dyDescent="0.55000000000000004">
      <c r="A54" s="2">
        <v>42826</v>
      </c>
      <c r="B54">
        <v>19.645087276877554</v>
      </c>
      <c r="C54">
        <v>0.11180555555555556</v>
      </c>
      <c r="D54">
        <v>6.6567386317842467E-2</v>
      </c>
      <c r="E54" s="1">
        <f t="shared" si="1"/>
        <v>19.823460218750952</v>
      </c>
      <c r="F54">
        <v>5.04</v>
      </c>
      <c r="G54">
        <f t="shared" si="5"/>
        <v>14.783460218750953</v>
      </c>
      <c r="H54">
        <v>4.6061428571428573E-2</v>
      </c>
      <c r="I54" s="3">
        <v>0</v>
      </c>
      <c r="J54">
        <v>2.7971346506573468E-2</v>
      </c>
      <c r="K54">
        <v>5.9193287037037037E-2</v>
      </c>
      <c r="L54">
        <f t="shared" si="2"/>
        <v>0.13322606211503907</v>
      </c>
      <c r="M54">
        <f t="shared" si="3"/>
        <v>14.650234156635914</v>
      </c>
      <c r="N54">
        <v>0.33552580054012343</v>
      </c>
      <c r="O54">
        <f>+M54+N54</f>
        <v>14.985759957176038</v>
      </c>
      <c r="P54" s="5">
        <f>+(G54-L54)/ABS(G54)</f>
        <v>0.99098816784814303</v>
      </c>
      <c r="Q54" s="5">
        <f>+(G54+N54-L54)/ABS(G54)</f>
        <v>1.0136841940541426</v>
      </c>
      <c r="R54" s="6">
        <f t="shared" si="4"/>
        <v>2.290241896155255E-2</v>
      </c>
    </row>
    <row r="55" spans="1:18" x14ac:dyDescent="0.55000000000000004">
      <c r="A55" s="2">
        <v>42856</v>
      </c>
      <c r="B55">
        <v>13.749173418982554</v>
      </c>
      <c r="C55">
        <v>0.11180555555555556</v>
      </c>
      <c r="D55">
        <v>0</v>
      </c>
      <c r="E55" s="1">
        <f t="shared" si="1"/>
        <v>13.86097897453811</v>
      </c>
      <c r="F55">
        <v>5.04</v>
      </c>
      <c r="G55">
        <f t="shared" si="5"/>
        <v>8.8209789745381109</v>
      </c>
      <c r="H55">
        <v>4.6061428571428573E-2</v>
      </c>
      <c r="I55" s="3">
        <v>0</v>
      </c>
      <c r="J55">
        <v>3.3583717435812649E-2</v>
      </c>
      <c r="K55">
        <v>5.7283826164874554E-2</v>
      </c>
      <c r="L55">
        <f t="shared" si="2"/>
        <v>0.13692897217211578</v>
      </c>
      <c r="M55">
        <f t="shared" si="3"/>
        <v>8.6840500023659946</v>
      </c>
      <c r="N55">
        <v>0.34131589755077657</v>
      </c>
      <c r="O55">
        <f>+M55+N55</f>
        <v>9.0253658999167712</v>
      </c>
      <c r="P55" s="5">
        <f>+(G55-L55)/ABS(G55)</f>
        <v>0.98447689620762457</v>
      </c>
      <c r="Q55" s="5">
        <f>+(G55+N55-L55)/ABS(G55)</f>
        <v>1.0231705489797251</v>
      </c>
      <c r="R55" s="6">
        <f t="shared" si="4"/>
        <v>3.9303769261782799E-2</v>
      </c>
    </row>
    <row r="56" spans="1:18" x14ac:dyDescent="0.55000000000000004">
      <c r="A56" s="2">
        <v>42887</v>
      </c>
      <c r="B56">
        <v>9.5033146140004554</v>
      </c>
      <c r="C56">
        <v>0.11180555555555556</v>
      </c>
      <c r="D56">
        <v>0</v>
      </c>
      <c r="E56" s="1">
        <f t="shared" si="1"/>
        <v>9.6151201695560111</v>
      </c>
      <c r="F56">
        <v>5.04</v>
      </c>
      <c r="G56">
        <f t="shared" si="5"/>
        <v>4.5751201695560111</v>
      </c>
      <c r="H56">
        <v>4.6061428571428573E-2</v>
      </c>
      <c r="I56" s="3">
        <v>0</v>
      </c>
      <c r="J56">
        <v>4.0483329947350967E-2</v>
      </c>
      <c r="K56">
        <v>5.9193287037037037E-2</v>
      </c>
      <c r="L56">
        <f t="shared" si="2"/>
        <v>0.1457380455558166</v>
      </c>
      <c r="M56">
        <f t="shared" si="3"/>
        <v>4.4293821240001936</v>
      </c>
      <c r="N56">
        <v>0.32141473765432099</v>
      </c>
      <c r="O56">
        <f>+M56+N56</f>
        <v>4.7507968616545142</v>
      </c>
      <c r="P56" s="5">
        <f>+(G56-L56)/ABS(G56)</f>
        <v>0.96814552620375005</v>
      </c>
      <c r="Q56" s="5">
        <f>+(G56+N56-L56)/ABS(G56)</f>
        <v>1.0383982683706321</v>
      </c>
      <c r="R56" s="6">
        <f t="shared" si="4"/>
        <v>7.2564237777717186E-2</v>
      </c>
    </row>
    <row r="57" spans="1:18" x14ac:dyDescent="0.55000000000000004">
      <c r="A57" s="2">
        <v>42917</v>
      </c>
      <c r="B57">
        <v>7.9061020826845354</v>
      </c>
      <c r="C57">
        <v>0.11180555555555556</v>
      </c>
      <c r="D57">
        <v>0</v>
      </c>
      <c r="E57" s="1">
        <f t="shared" si="1"/>
        <v>8.0179076382400911</v>
      </c>
      <c r="F57">
        <v>3.87</v>
      </c>
      <c r="G57">
        <f t="shared" si="5"/>
        <v>4.147907638240091</v>
      </c>
      <c r="H57">
        <v>4.6061428571428573E-2</v>
      </c>
      <c r="I57" s="3">
        <v>0</v>
      </c>
      <c r="J57">
        <v>4.0243113592588149E-2</v>
      </c>
      <c r="K57">
        <v>5.7283826164874554E-2</v>
      </c>
      <c r="L57">
        <f t="shared" si="2"/>
        <v>0.14358836832889127</v>
      </c>
      <c r="M57">
        <f t="shared" si="3"/>
        <v>4.0043192699111998</v>
      </c>
      <c r="N57">
        <v>0.30692558990442054</v>
      </c>
      <c r="O57">
        <f>+M57+N57</f>
        <v>4.3112448598156199</v>
      </c>
      <c r="P57" s="5">
        <f>+(G57-L57)/ABS(G57)</f>
        <v>0.96538293982124102</v>
      </c>
      <c r="Q57" s="5">
        <f>+(G57+N57-L57)/ABS(G57)</f>
        <v>1.0393782204959683</v>
      </c>
      <c r="R57" s="6">
        <f t="shared" si="4"/>
        <v>7.664863094476157E-2</v>
      </c>
    </row>
    <row r="58" spans="1:18" x14ac:dyDescent="0.55000000000000004">
      <c r="A58" s="2">
        <v>42948</v>
      </c>
      <c r="B58">
        <v>6.8944048999161662</v>
      </c>
      <c r="C58">
        <v>0.11180555555555556</v>
      </c>
      <c r="D58">
        <v>0</v>
      </c>
      <c r="E58" s="1">
        <f t="shared" si="1"/>
        <v>7.0062104554717219</v>
      </c>
      <c r="F58">
        <v>3.87</v>
      </c>
      <c r="G58">
        <f t="shared" si="5"/>
        <v>3.1362104554717218</v>
      </c>
      <c r="H58">
        <v>4.6061428571428573E-2</v>
      </c>
      <c r="I58" s="3">
        <v>0</v>
      </c>
      <c r="J58">
        <v>4.6269411658578626E-2</v>
      </c>
      <c r="K58">
        <v>5.7283826164874554E-2</v>
      </c>
      <c r="L58">
        <f t="shared" si="2"/>
        <v>0.14961466639488175</v>
      </c>
      <c r="M58">
        <f t="shared" si="3"/>
        <v>2.9865957890768402</v>
      </c>
      <c r="N58">
        <v>0.30970857134856633</v>
      </c>
      <c r="O58">
        <f>+M58+N58</f>
        <v>3.2963043604254065</v>
      </c>
      <c r="P58" s="5">
        <f>+(G58-L58)/ABS(G58)</f>
        <v>0.95229444308054967</v>
      </c>
      <c r="Q58" s="5">
        <f>+(G58+N58-L58)/ABS(G58)</f>
        <v>1.0510469266099058</v>
      </c>
      <c r="R58" s="6">
        <f t="shared" si="4"/>
        <v>0.1036995272280542</v>
      </c>
    </row>
    <row r="59" spans="1:18" x14ac:dyDescent="0.55000000000000004">
      <c r="A59" s="2">
        <v>42979</v>
      </c>
      <c r="B59">
        <v>5.7337839993763158</v>
      </c>
      <c r="C59">
        <v>0.11180555555555556</v>
      </c>
      <c r="D59">
        <v>0</v>
      </c>
      <c r="E59" s="1">
        <f t="shared" si="1"/>
        <v>5.8455895549318715</v>
      </c>
      <c r="F59">
        <v>3.87</v>
      </c>
      <c r="G59">
        <f t="shared" si="5"/>
        <v>1.9755895549318714</v>
      </c>
      <c r="H59">
        <v>4.6061428571428573E-2</v>
      </c>
      <c r="I59" s="3">
        <v>0</v>
      </c>
      <c r="J59">
        <v>2.3523284878679603E-2</v>
      </c>
      <c r="K59">
        <v>5.9193287037037037E-2</v>
      </c>
      <c r="L59">
        <f t="shared" si="2"/>
        <v>0.12877800048714522</v>
      </c>
      <c r="M59">
        <f t="shared" si="3"/>
        <v>1.8468115544447263</v>
      </c>
      <c r="N59">
        <v>0.30139578510802467</v>
      </c>
      <c r="O59">
        <f>+M59+N59</f>
        <v>2.148207339552751</v>
      </c>
      <c r="P59" s="5">
        <f>+(G59-L59)/ABS(G59)</f>
        <v>0.9348154072966911</v>
      </c>
      <c r="Q59" s="5">
        <f>+(G59+N59-L59)/ABS(G59)</f>
        <v>1.0873753276281279</v>
      </c>
      <c r="R59" s="6">
        <f t="shared" si="4"/>
        <v>0.16319790959865671</v>
      </c>
    </row>
    <row r="60" spans="1:18" x14ac:dyDescent="0.55000000000000004">
      <c r="A60" s="2">
        <v>43009</v>
      </c>
      <c r="B60">
        <v>4.6757588546809323</v>
      </c>
      <c r="C60">
        <v>0.11180555555555556</v>
      </c>
      <c r="D60">
        <v>0</v>
      </c>
      <c r="E60" s="1">
        <f t="shared" si="1"/>
        <v>4.787564410236488</v>
      </c>
      <c r="F60">
        <v>3.87</v>
      </c>
      <c r="G60">
        <f t="shared" si="5"/>
        <v>0.91756441023648794</v>
      </c>
      <c r="H60">
        <v>4.6061428571428573E-2</v>
      </c>
      <c r="I60" s="3">
        <v>0</v>
      </c>
      <c r="J60">
        <v>3.1656033282678291E-2</v>
      </c>
      <c r="K60">
        <v>0</v>
      </c>
      <c r="L60">
        <f t="shared" si="2"/>
        <v>7.7717461854106856E-2</v>
      </c>
      <c r="M60">
        <f t="shared" si="3"/>
        <v>0.83984694838238105</v>
      </c>
      <c r="N60">
        <v>0.29510608012246115</v>
      </c>
      <c r="O60">
        <f>+M60+N60</f>
        <v>1.1349530285048421</v>
      </c>
      <c r="P60" s="5">
        <f>+(G60-L60)/ABS(G60)</f>
        <v>0.91530026558672173</v>
      </c>
      <c r="Q60" s="5">
        <f>+(G60+N60-L60)/ABS(G60)</f>
        <v>1.2369191915500797</v>
      </c>
      <c r="R60" s="6">
        <f t="shared" si="4"/>
        <v>0.3513807851428899</v>
      </c>
    </row>
    <row r="61" spans="1:18" x14ac:dyDescent="0.55000000000000004">
      <c r="A61" s="2">
        <v>43040</v>
      </c>
      <c r="B61">
        <v>13.327541505266028</v>
      </c>
      <c r="C61">
        <v>0.11180555555555556</v>
      </c>
      <c r="D61">
        <v>8.6746012000788561E-2</v>
      </c>
      <c r="E61" s="1">
        <f t="shared" si="1"/>
        <v>13.526093072822372</v>
      </c>
      <c r="F61">
        <v>5.04</v>
      </c>
      <c r="G61">
        <f t="shared" si="5"/>
        <v>8.4860930728223707</v>
      </c>
      <c r="H61">
        <v>4.6061428571428573E-2</v>
      </c>
      <c r="I61" s="3">
        <v>0</v>
      </c>
      <c r="J61">
        <v>1.2741976253148882E-2</v>
      </c>
      <c r="K61">
        <v>0</v>
      </c>
      <c r="L61">
        <f t="shared" si="2"/>
        <v>5.8803404824577452E-2</v>
      </c>
      <c r="M61">
        <f t="shared" si="3"/>
        <v>8.4272896679977922</v>
      </c>
      <c r="N61">
        <v>0.27756004050925925</v>
      </c>
      <c r="O61">
        <f>+M61+N61</f>
        <v>8.7048497085070515</v>
      </c>
      <c r="P61" s="5">
        <f>+(G61-L61)/ABS(G61)</f>
        <v>0.99307061514409956</v>
      </c>
      <c r="Q61" s="5">
        <f>+(G61+N61-L61)/ABS(G61)</f>
        <v>1.0257782508166537</v>
      </c>
      <c r="R61" s="6">
        <f t="shared" si="4"/>
        <v>3.2935860928488103E-2</v>
      </c>
    </row>
    <row r="62" spans="1:18" x14ac:dyDescent="0.55000000000000004">
      <c r="A62" s="2">
        <v>43070</v>
      </c>
      <c r="B62">
        <v>21.96829828821862</v>
      </c>
      <c r="C62">
        <v>0.11180555555555556</v>
      </c>
      <c r="D62">
        <v>0.18017864918603332</v>
      </c>
      <c r="E62" s="1">
        <f t="shared" si="1"/>
        <v>22.260282492960208</v>
      </c>
      <c r="F62">
        <v>5.04</v>
      </c>
      <c r="G62">
        <f t="shared" si="5"/>
        <v>17.220282492960209</v>
      </c>
      <c r="H62">
        <v>4.6061428571428573E-2</v>
      </c>
      <c r="I62" s="3">
        <v>0</v>
      </c>
      <c r="J62">
        <v>2.4782293444510824E-2</v>
      </c>
      <c r="K62">
        <v>0</v>
      </c>
      <c r="L62">
        <f t="shared" si="2"/>
        <v>7.08437220159394E-2</v>
      </c>
      <c r="M62">
        <f t="shared" si="3"/>
        <v>17.149438770944272</v>
      </c>
      <c r="N62">
        <v>0.26966673200418162</v>
      </c>
      <c r="O62">
        <f>+M62+N62</f>
        <v>17.419105502948455</v>
      </c>
      <c r="P62" s="5">
        <f>+(G62-L62)/ABS(G62)</f>
        <v>0.99588603020624655</v>
      </c>
      <c r="Q62" s="5">
        <f>+(G62+N62-L62)/ABS(G62)</f>
        <v>1.011545862274299</v>
      </c>
      <c r="R62" s="6">
        <f t="shared" si="4"/>
        <v>1.5724522277724199E-2</v>
      </c>
    </row>
    <row r="63" spans="1:18" x14ac:dyDescent="0.55000000000000004">
      <c r="A63" s="2">
        <v>43101</v>
      </c>
      <c r="B63">
        <v>12.90697427693479</v>
      </c>
      <c r="C63">
        <v>0.11180555555555556</v>
      </c>
      <c r="D63">
        <v>0</v>
      </c>
      <c r="E63" s="1">
        <f t="shared" si="1"/>
        <v>13.018779832490345</v>
      </c>
      <c r="F63">
        <v>5.04</v>
      </c>
      <c r="G63">
        <f t="shared" si="5"/>
        <v>7.9787798324903454</v>
      </c>
      <c r="H63">
        <v>4.6061428571428573E-2</v>
      </c>
      <c r="I63" s="3">
        <v>0</v>
      </c>
      <c r="J63">
        <v>3.744254024343048E-2</v>
      </c>
      <c r="K63">
        <v>0</v>
      </c>
      <c r="L63">
        <f t="shared" si="2"/>
        <v>8.3503968814859053E-2</v>
      </c>
      <c r="M63">
        <f t="shared" si="3"/>
        <v>7.8952758636754856</v>
      </c>
      <c r="N63">
        <v>0.27236237119175627</v>
      </c>
      <c r="O63">
        <f>+M63+N63</f>
        <v>8.1676382348672423</v>
      </c>
      <c r="P63" s="5">
        <f>+(G63-L63)/ABS(G63)</f>
        <v>0.98953424325924844</v>
      </c>
      <c r="Q63" s="5">
        <f>+(G63+N63-L63)/ABS(G63)</f>
        <v>1.0236700856950391</v>
      </c>
      <c r="R63" s="6">
        <f t="shared" si="4"/>
        <v>3.4496878373159491E-2</v>
      </c>
    </row>
    <row r="64" spans="1:18" x14ac:dyDescent="0.55000000000000004">
      <c r="A64" s="2">
        <v>43132</v>
      </c>
      <c r="B64">
        <v>17.956882119698715</v>
      </c>
      <c r="C64">
        <v>0.11180555555555556</v>
      </c>
      <c r="D64">
        <v>0.32541078908434579</v>
      </c>
      <c r="E64" s="1">
        <f t="shared" si="1"/>
        <v>18.394098464338615</v>
      </c>
      <c r="F64">
        <v>5.81</v>
      </c>
      <c r="G64">
        <f t="shared" si="5"/>
        <v>12.584098464338616</v>
      </c>
      <c r="H64">
        <v>4.6061428571428573E-2</v>
      </c>
      <c r="I64" s="3">
        <v>0</v>
      </c>
      <c r="J64">
        <v>0</v>
      </c>
      <c r="K64">
        <v>0</v>
      </c>
      <c r="L64">
        <f t="shared" si="2"/>
        <v>4.6061428571428573E-2</v>
      </c>
      <c r="M64">
        <f t="shared" si="3"/>
        <v>12.538037035767188</v>
      </c>
      <c r="N64">
        <v>0.31979280340608468</v>
      </c>
      <c r="O64">
        <f>+M64+N64</f>
        <v>12.857829839173272</v>
      </c>
      <c r="P64" s="5">
        <f>+(G64-L64)/ABS(G64)</f>
        <v>0.99633971168439595</v>
      </c>
      <c r="Q64" s="5">
        <f>+(G64+N64-L64)/ABS(G64)</f>
        <v>1.0217521640990308</v>
      </c>
      <c r="R64" s="6">
        <f t="shared" si="4"/>
        <v>2.5505811036752687E-2</v>
      </c>
    </row>
    <row r="65" spans="1:18" x14ac:dyDescent="0.55000000000000004">
      <c r="A65" s="2">
        <v>43160</v>
      </c>
      <c r="B65">
        <v>54.121746116157169</v>
      </c>
      <c r="C65">
        <v>0.11180555555555556</v>
      </c>
      <c r="D65">
        <v>0.20389185256776851</v>
      </c>
      <c r="E65" s="1">
        <f t="shared" si="1"/>
        <v>54.437443524280496</v>
      </c>
      <c r="F65">
        <v>5.81</v>
      </c>
      <c r="G65">
        <f t="shared" si="5"/>
        <v>48.627443524280494</v>
      </c>
      <c r="H65">
        <v>4.6061428571428573E-2</v>
      </c>
      <c r="I65" s="3">
        <v>0</v>
      </c>
      <c r="J65">
        <v>1.1491140213683273E-2</v>
      </c>
      <c r="K65">
        <v>0</v>
      </c>
      <c r="L65">
        <f t="shared" si="2"/>
        <v>5.7552568785111849E-2</v>
      </c>
      <c r="M65">
        <f t="shared" si="3"/>
        <v>48.569890955495381</v>
      </c>
      <c r="N65">
        <v>0.37923478102598568</v>
      </c>
      <c r="O65">
        <f>+M65+N65</f>
        <v>48.949125736521367</v>
      </c>
      <c r="P65" s="5">
        <f>+(G65-L65)/ABS(G65)</f>
        <v>0.99881645908947736</v>
      </c>
      <c r="Q65" s="5">
        <f>+(G65+N65-L65)/ABS(G65)</f>
        <v>1.0066152400563737</v>
      </c>
      <c r="R65" s="6">
        <f t="shared" si="4"/>
        <v>7.8080220804588327E-3</v>
      </c>
    </row>
    <row r="66" spans="1:18" x14ac:dyDescent="0.55000000000000004">
      <c r="A66" s="2">
        <v>43191</v>
      </c>
      <c r="B66">
        <v>40.648763305221763</v>
      </c>
      <c r="C66">
        <v>0.11180555555555556</v>
      </c>
      <c r="D66">
        <v>0</v>
      </c>
      <c r="E66" s="1">
        <f t="shared" si="1"/>
        <v>40.760568860777319</v>
      </c>
      <c r="F66">
        <v>5.04</v>
      </c>
      <c r="G66">
        <f t="shared" si="5"/>
        <v>35.72056886077732</v>
      </c>
      <c r="H66">
        <v>4.6061428571428573E-2</v>
      </c>
      <c r="I66" s="3">
        <v>0</v>
      </c>
      <c r="J66">
        <v>4.4985484528125889E-2</v>
      </c>
      <c r="K66">
        <v>5.9193287037037037E-2</v>
      </c>
      <c r="L66">
        <f t="shared" si="2"/>
        <v>0.15024020013659151</v>
      </c>
      <c r="M66">
        <f t="shared" si="3"/>
        <v>35.570328660640726</v>
      </c>
      <c r="N66">
        <v>0.33552580054012343</v>
      </c>
      <c r="O66">
        <f>+M66+N66</f>
        <v>35.905854461180851</v>
      </c>
      <c r="P66" s="5">
        <f>+(G66-L66)/ABS(G66)</f>
        <v>0.99579401434724735</v>
      </c>
      <c r="Q66" s="5">
        <f>+(G66+N66-L66)/ABS(G66)</f>
        <v>1.0051870842574118</v>
      </c>
      <c r="R66" s="6">
        <f t="shared" si="4"/>
        <v>9.4327438956556386E-3</v>
      </c>
    </row>
    <row r="67" spans="1:18" x14ac:dyDescent="0.55000000000000004">
      <c r="A67" s="2">
        <v>43221</v>
      </c>
      <c r="B67">
        <v>42.340550506773234</v>
      </c>
      <c r="C67">
        <v>0.11180555555555556</v>
      </c>
      <c r="D67">
        <v>0</v>
      </c>
      <c r="E67" s="1">
        <f t="shared" si="1"/>
        <v>42.452356062328789</v>
      </c>
      <c r="F67">
        <v>5.04</v>
      </c>
      <c r="G67">
        <f t="shared" ref="G67:G98" si="6">E67-F67</f>
        <v>37.41235606232879</v>
      </c>
      <c r="H67">
        <v>4.6061428571428573E-2</v>
      </c>
      <c r="I67" s="3">
        <v>0</v>
      </c>
      <c r="J67">
        <v>1.3406817801028601E-2</v>
      </c>
      <c r="K67">
        <v>5.7283826164874554E-2</v>
      </c>
      <c r="L67">
        <f t="shared" si="2"/>
        <v>0.11675207253733173</v>
      </c>
      <c r="M67">
        <f t="shared" si="3"/>
        <v>37.295603989791459</v>
      </c>
      <c r="N67">
        <v>0.34131589755077657</v>
      </c>
      <c r="O67">
        <f>+M67+N67</f>
        <v>37.636919887342238</v>
      </c>
      <c r="P67" s="5">
        <f>+(G67-L67)/ABS(G67)</f>
        <v>0.9968793178290396</v>
      </c>
      <c r="Q67" s="5">
        <f>+(G67+N67-L67)/ABS(G67)</f>
        <v>1.0060023972999541</v>
      </c>
      <c r="R67" s="6">
        <f t="shared" si="4"/>
        <v>9.1516388270371108E-3</v>
      </c>
    </row>
    <row r="68" spans="1:18" x14ac:dyDescent="0.55000000000000004">
      <c r="A68" s="2">
        <v>43252</v>
      </c>
      <c r="B68">
        <v>27.314530470760367</v>
      </c>
      <c r="C68">
        <v>0.11180555555555556</v>
      </c>
      <c r="D68">
        <v>0</v>
      </c>
      <c r="E68" s="1">
        <f t="shared" ref="E68:E131" si="7">B68+C68+D68</f>
        <v>27.426336026315923</v>
      </c>
      <c r="F68">
        <v>5.04</v>
      </c>
      <c r="G68">
        <f t="shared" si="6"/>
        <v>22.386336026315924</v>
      </c>
      <c r="H68">
        <v>4.6061428571428573E-2</v>
      </c>
      <c r="I68" s="3">
        <v>0</v>
      </c>
      <c r="J68">
        <v>3.1775152037269307E-2</v>
      </c>
      <c r="K68">
        <v>5.9193287037037037E-2</v>
      </c>
      <c r="L68">
        <f t="shared" ref="L68:L131" si="8">+J68+K68+H68+I68</f>
        <v>0.13702986764573494</v>
      </c>
      <c r="M68">
        <f t="shared" ref="M68:M131" si="9">+G68-H68-J68-K68</f>
        <v>22.249306158670191</v>
      </c>
      <c r="N68">
        <v>0.32141473765432099</v>
      </c>
      <c r="O68">
        <f>+M68+N68</f>
        <v>22.570720896324513</v>
      </c>
      <c r="P68" s="5">
        <f>+(G68-L68)/ABS(G68)</f>
        <v>0.99387886130697523</v>
      </c>
      <c r="Q68" s="5">
        <f>+(G68+N68-L68)/ABS(G68)</f>
        <v>1.0082364916613347</v>
      </c>
      <c r="R68" s="6">
        <f t="shared" ref="R68:R131" si="10">+(Q68-P68)/ABS(P68)</f>
        <v>1.4446056670808756E-2</v>
      </c>
    </row>
    <row r="69" spans="1:18" x14ac:dyDescent="0.55000000000000004">
      <c r="A69" s="2">
        <v>43282</v>
      </c>
      <c r="B69">
        <v>17.037913102810101</v>
      </c>
      <c r="C69">
        <v>0.11180555555555556</v>
      </c>
      <c r="D69">
        <v>0</v>
      </c>
      <c r="E69" s="1">
        <f t="shared" si="7"/>
        <v>17.149718658365657</v>
      </c>
      <c r="F69">
        <v>3.87</v>
      </c>
      <c r="G69">
        <f t="shared" si="6"/>
        <v>13.279718658365656</v>
      </c>
      <c r="H69">
        <v>4.6061428571428573E-2</v>
      </c>
      <c r="I69" s="3">
        <v>0</v>
      </c>
      <c r="J69">
        <v>4.0563423980448439E-2</v>
      </c>
      <c r="K69">
        <v>5.7283826164874554E-2</v>
      </c>
      <c r="L69">
        <f t="shared" si="8"/>
        <v>0.14390867871675156</v>
      </c>
      <c r="M69">
        <f t="shared" si="9"/>
        <v>13.135809979648904</v>
      </c>
      <c r="N69">
        <v>0.30692558990442054</v>
      </c>
      <c r="O69">
        <f>+M69+N69</f>
        <v>13.442735569553324</v>
      </c>
      <c r="P69" s="5">
        <f>+(G69-L69)/ABS(G69)</f>
        <v>0.98916327352868316</v>
      </c>
      <c r="Q69" s="5">
        <f>+(G69+N69-L69)/ABS(G69)</f>
        <v>1.0122756298820363</v>
      </c>
      <c r="R69" s="6">
        <f t="shared" si="10"/>
        <v>2.3365562563704485E-2</v>
      </c>
    </row>
    <row r="70" spans="1:18" x14ac:dyDescent="0.55000000000000004">
      <c r="A70" s="2">
        <v>43313</v>
      </c>
      <c r="B70">
        <v>14.401608758049834</v>
      </c>
      <c r="C70">
        <v>0.11180555555555556</v>
      </c>
      <c r="D70">
        <v>0</v>
      </c>
      <c r="E70" s="1">
        <f t="shared" si="7"/>
        <v>14.51341431360539</v>
      </c>
      <c r="F70">
        <v>3.87</v>
      </c>
      <c r="G70">
        <f t="shared" si="6"/>
        <v>10.64341431360539</v>
      </c>
      <c r="H70">
        <v>4.6061428571428573E-2</v>
      </c>
      <c r="I70" s="3">
        <v>0</v>
      </c>
      <c r="J70">
        <v>3.7450550631812275E-2</v>
      </c>
      <c r="K70">
        <v>5.7283826164874554E-2</v>
      </c>
      <c r="L70">
        <f t="shared" si="8"/>
        <v>0.14079580536811542</v>
      </c>
      <c r="M70">
        <f t="shared" si="9"/>
        <v>10.502618508237274</v>
      </c>
      <c r="N70">
        <v>0.30970857134856633</v>
      </c>
      <c r="O70">
        <f>+M70+N70</f>
        <v>10.812327079585842</v>
      </c>
      <c r="P70" s="5">
        <f>+(G70-L70)/ABS(G70)</f>
        <v>0.98677155645551284</v>
      </c>
      <c r="Q70" s="5">
        <f>+(G70+N70-L70)/ABS(G70)</f>
        <v>1.0158701673169417</v>
      </c>
      <c r="R70" s="6">
        <f t="shared" si="10"/>
        <v>2.9488700470807205E-2</v>
      </c>
    </row>
    <row r="71" spans="1:18" x14ac:dyDescent="0.55000000000000004">
      <c r="A71" s="2">
        <v>43344</v>
      </c>
      <c r="B71">
        <v>13.647355585842462</v>
      </c>
      <c r="C71">
        <v>0.11180555555555556</v>
      </c>
      <c r="D71">
        <v>0</v>
      </c>
      <c r="E71" s="1">
        <f t="shared" si="7"/>
        <v>13.759161141398017</v>
      </c>
      <c r="F71">
        <v>3.87</v>
      </c>
      <c r="G71">
        <f t="shared" si="6"/>
        <v>9.8891611413980165</v>
      </c>
      <c r="H71">
        <v>4.6061428571428573E-2</v>
      </c>
      <c r="I71" s="3">
        <v>0</v>
      </c>
      <c r="J71">
        <v>3.4620952237179051E-2</v>
      </c>
      <c r="K71">
        <v>5.9193287037037037E-2</v>
      </c>
      <c r="L71">
        <f t="shared" si="8"/>
        <v>0.13987566784564465</v>
      </c>
      <c r="M71">
        <f t="shared" si="9"/>
        <v>9.7492854735523728</v>
      </c>
      <c r="N71">
        <v>0.30139578510802467</v>
      </c>
      <c r="O71">
        <f>+M71+N71</f>
        <v>10.050681258660397</v>
      </c>
      <c r="P71" s="5">
        <f>+(G71-L71)/ABS(G71)</f>
        <v>0.98585565895371063</v>
      </c>
      <c r="Q71" s="5">
        <f>+(G71+N71-L71)/ABS(G71)</f>
        <v>1.0163330453364972</v>
      </c>
      <c r="R71" s="6">
        <f t="shared" si="10"/>
        <v>3.0914653789310489E-2</v>
      </c>
    </row>
    <row r="72" spans="1:18" x14ac:dyDescent="0.55000000000000004">
      <c r="A72" s="2">
        <v>43374</v>
      </c>
      <c r="B72">
        <v>13.425033788285848</v>
      </c>
      <c r="C72">
        <v>0.11180555555555556</v>
      </c>
      <c r="D72">
        <v>0</v>
      </c>
      <c r="E72" s="1">
        <f t="shared" si="7"/>
        <v>13.536839343841404</v>
      </c>
      <c r="F72">
        <v>3.87</v>
      </c>
      <c r="G72">
        <f t="shared" si="6"/>
        <v>9.6668393438414029</v>
      </c>
      <c r="H72">
        <v>4.6061428571428573E-2</v>
      </c>
      <c r="I72" s="3">
        <v>0</v>
      </c>
      <c r="J72">
        <v>2.5662052156835778E-2</v>
      </c>
      <c r="K72">
        <v>0</v>
      </c>
      <c r="L72">
        <f t="shared" si="8"/>
        <v>7.1723480728264344E-2</v>
      </c>
      <c r="M72">
        <f t="shared" si="9"/>
        <v>9.5951158631131381</v>
      </c>
      <c r="N72">
        <v>0.29510608012246115</v>
      </c>
      <c r="O72">
        <f>+M72+N72</f>
        <v>9.8902219432355984</v>
      </c>
      <c r="P72" s="5">
        <f>+(G72-L72)/ABS(G72)</f>
        <v>0.99258046211619744</v>
      </c>
      <c r="Q72" s="5">
        <f>+(G72+N72-L72)/ABS(G72)</f>
        <v>1.0231081319807502</v>
      </c>
      <c r="R72" s="6">
        <f t="shared" si="10"/>
        <v>3.0755864163865686E-2</v>
      </c>
    </row>
    <row r="73" spans="1:18" x14ac:dyDescent="0.55000000000000004">
      <c r="A73" s="2">
        <v>43405</v>
      </c>
      <c r="B73">
        <v>15.684391595148202</v>
      </c>
      <c r="C73">
        <v>0.11180555555555556</v>
      </c>
      <c r="D73">
        <v>0</v>
      </c>
      <c r="E73" s="1">
        <f t="shared" si="7"/>
        <v>15.796197150703758</v>
      </c>
      <c r="F73">
        <v>5.04</v>
      </c>
      <c r="G73">
        <f t="shared" si="6"/>
        <v>10.756197150703759</v>
      </c>
      <c r="H73">
        <v>4.6061428571428573E-2</v>
      </c>
      <c r="I73" s="3">
        <v>0</v>
      </c>
      <c r="J73">
        <v>3.148447778800819E-2</v>
      </c>
      <c r="K73">
        <v>0</v>
      </c>
      <c r="L73">
        <f t="shared" si="8"/>
        <v>7.7545906359436756E-2</v>
      </c>
      <c r="M73">
        <f t="shared" si="9"/>
        <v>10.678651244344321</v>
      </c>
      <c r="N73">
        <v>0.27756004050925925</v>
      </c>
      <c r="O73">
        <f>+M73+N73</f>
        <v>10.95621128485358</v>
      </c>
      <c r="P73" s="5">
        <f>+(G73-L73)/ABS(G73)</f>
        <v>0.992790583393652</v>
      </c>
      <c r="Q73" s="5">
        <f>+(G73+N73-L73)/ABS(G73)</f>
        <v>1.0185952461959789</v>
      </c>
      <c r="R73" s="6">
        <f t="shared" si="10"/>
        <v>2.5992050321548051E-2</v>
      </c>
    </row>
    <row r="74" spans="1:18" x14ac:dyDescent="0.55000000000000004">
      <c r="A74" s="2">
        <v>43435</v>
      </c>
      <c r="B74">
        <v>17.187774647376674</v>
      </c>
      <c r="C74">
        <v>0.11180555555555556</v>
      </c>
      <c r="D74">
        <v>0</v>
      </c>
      <c r="E74" s="1">
        <f t="shared" si="7"/>
        <v>17.29958020293223</v>
      </c>
      <c r="F74">
        <v>5.04</v>
      </c>
      <c r="G74">
        <f t="shared" si="6"/>
        <v>12.259580202932231</v>
      </c>
      <c r="H74">
        <v>4.6061428571428573E-2</v>
      </c>
      <c r="I74" s="3">
        <v>0</v>
      </c>
      <c r="J74">
        <v>2.5403410530261957E-2</v>
      </c>
      <c r="K74">
        <v>0</v>
      </c>
      <c r="L74">
        <f t="shared" si="8"/>
        <v>7.1464839101690533E-2</v>
      </c>
      <c r="M74">
        <f t="shared" si="9"/>
        <v>12.188115363830541</v>
      </c>
      <c r="N74">
        <v>0.26966673200418162</v>
      </c>
      <c r="O74">
        <f>+M74+N74</f>
        <v>12.457782095834721</v>
      </c>
      <c r="P74" s="5">
        <f>+(G74-L74)/ABS(G74)</f>
        <v>0.99417069443498585</v>
      </c>
      <c r="Q74" s="5">
        <f>+(G74+N74-L74)/ABS(G74)</f>
        <v>1.0161671027573265</v>
      </c>
      <c r="R74" s="6">
        <f t="shared" si="10"/>
        <v>2.212538394610573E-2</v>
      </c>
    </row>
    <row r="75" spans="1:18" x14ac:dyDescent="0.55000000000000004">
      <c r="A75" s="2">
        <v>43466</v>
      </c>
      <c r="B75">
        <v>15.60620830729464</v>
      </c>
      <c r="C75">
        <v>0.11180555555555556</v>
      </c>
      <c r="D75">
        <v>4.2009118251114252E-2</v>
      </c>
      <c r="E75" s="1">
        <f t="shared" si="7"/>
        <v>15.76002298110131</v>
      </c>
      <c r="F75">
        <v>5.04</v>
      </c>
      <c r="G75">
        <f t="shared" si="6"/>
        <v>10.720022981101309</v>
      </c>
      <c r="H75">
        <v>4.6061428571428573E-2</v>
      </c>
      <c r="I75" s="3">
        <v>0</v>
      </c>
      <c r="J75">
        <v>1.335678539358235E-2</v>
      </c>
      <c r="K75">
        <v>0</v>
      </c>
      <c r="L75">
        <f t="shared" si="8"/>
        <v>5.9418213965010923E-2</v>
      </c>
      <c r="M75">
        <f t="shared" si="9"/>
        <v>10.660604767136297</v>
      </c>
      <c r="N75">
        <v>0.26251796781660691</v>
      </c>
      <c r="O75">
        <f>+M75+N75</f>
        <v>10.923122734952903</v>
      </c>
      <c r="P75" s="5">
        <f>+(G75-L75)/ABS(G75)</f>
        <v>0.99445726804226442</v>
      </c>
      <c r="Q75" s="5">
        <f>+(G75+N75-L75)/ABS(G75)</f>
        <v>1.0189458319454769</v>
      </c>
      <c r="R75" s="6">
        <f t="shared" si="10"/>
        <v>2.4625053976850979E-2</v>
      </c>
    </row>
    <row r="76" spans="1:18" x14ac:dyDescent="0.55000000000000004">
      <c r="A76" s="2">
        <v>43497</v>
      </c>
      <c r="B76">
        <v>20.372162222416257</v>
      </c>
      <c r="C76">
        <v>0.11180555555555556</v>
      </c>
      <c r="D76">
        <v>0</v>
      </c>
      <c r="E76" s="1">
        <f t="shared" si="7"/>
        <v>20.483967777971813</v>
      </c>
      <c r="F76">
        <v>5.81</v>
      </c>
      <c r="G76">
        <f t="shared" si="6"/>
        <v>14.673967777971814</v>
      </c>
      <c r="H76">
        <v>4.6061428571428573E-2</v>
      </c>
      <c r="I76" s="3">
        <v>0</v>
      </c>
      <c r="J76">
        <v>3.819168963053339E-2</v>
      </c>
      <c r="K76">
        <v>0</v>
      </c>
      <c r="L76">
        <f t="shared" si="8"/>
        <v>8.4253118201961963E-2</v>
      </c>
      <c r="M76">
        <f t="shared" si="9"/>
        <v>14.589714659769852</v>
      </c>
      <c r="N76">
        <v>0.26836655712632274</v>
      </c>
      <c r="O76">
        <f>+M76+N76</f>
        <v>14.858081216896174</v>
      </c>
      <c r="P76" s="5">
        <f>+(G76-L76)/ABS(G76)</f>
        <v>0.99425832743558007</v>
      </c>
      <c r="Q76" s="5">
        <f>+(G76+N76-L76)/ABS(G76)</f>
        <v>1.0125469431111023</v>
      </c>
      <c r="R76" s="6">
        <f t="shared" si="10"/>
        <v>1.8394229317337207E-2</v>
      </c>
    </row>
    <row r="77" spans="1:18" x14ac:dyDescent="0.55000000000000004">
      <c r="A77" s="2">
        <v>43525</v>
      </c>
      <c r="B77">
        <v>13.503471550094661</v>
      </c>
      <c r="C77">
        <v>0.11180555555555556</v>
      </c>
      <c r="D77">
        <v>0</v>
      </c>
      <c r="E77" s="1">
        <f t="shared" si="7"/>
        <v>13.615277105650216</v>
      </c>
      <c r="F77">
        <v>5.81</v>
      </c>
      <c r="G77">
        <f t="shared" si="6"/>
        <v>7.8052771056502168</v>
      </c>
      <c r="H77">
        <v>4.6061428571428573E-2</v>
      </c>
      <c r="I77" s="3">
        <v>0</v>
      </c>
      <c r="J77">
        <v>3.6293580063132089E-2</v>
      </c>
      <c r="K77">
        <v>0</v>
      </c>
      <c r="L77">
        <f t="shared" si="8"/>
        <v>8.2355008634560661E-2</v>
      </c>
      <c r="M77">
        <f t="shared" si="9"/>
        <v>7.7229220970156556</v>
      </c>
      <c r="N77">
        <v>0.34121411103643967</v>
      </c>
      <c r="O77">
        <f>+M77+N77</f>
        <v>8.064136208052096</v>
      </c>
      <c r="P77" s="5">
        <f>+(G77-L77)/ABS(G77)</f>
        <v>0.9894488039925009</v>
      </c>
      <c r="Q77" s="5">
        <f>+(G77+N77-L77)/ABS(G77)</f>
        <v>1.0331646268156824</v>
      </c>
      <c r="R77" s="6">
        <f t="shared" si="10"/>
        <v>4.418199572002602E-2</v>
      </c>
    </row>
    <row r="78" spans="1:18" x14ac:dyDescent="0.55000000000000004">
      <c r="A78" s="2">
        <v>43556</v>
      </c>
      <c r="B78">
        <v>17.104054439116048</v>
      </c>
      <c r="C78">
        <v>0.11180555555555556</v>
      </c>
      <c r="D78">
        <v>0</v>
      </c>
      <c r="E78" s="1">
        <f t="shared" si="7"/>
        <v>17.215859994671604</v>
      </c>
      <c r="F78">
        <v>5.04</v>
      </c>
      <c r="G78">
        <f t="shared" si="6"/>
        <v>12.175859994671605</v>
      </c>
      <c r="H78">
        <v>4.6061428571428573E-2</v>
      </c>
      <c r="I78" s="3">
        <v>0</v>
      </c>
      <c r="J78">
        <v>3.1292266256446155E-2</v>
      </c>
      <c r="K78">
        <v>5.9193287037037037E-2</v>
      </c>
      <c r="L78">
        <f t="shared" si="8"/>
        <v>0.13654698186491177</v>
      </c>
      <c r="M78">
        <f t="shared" si="9"/>
        <v>12.039313012806693</v>
      </c>
      <c r="N78">
        <v>0.28544866415895059</v>
      </c>
      <c r="O78">
        <f>+M78+N78</f>
        <v>12.324761676965643</v>
      </c>
      <c r="P78" s="5">
        <f>+(G78-L78)/ABS(G78)</f>
        <v>0.98878543429994536</v>
      </c>
      <c r="Q78" s="5">
        <f>+(G78+N78-L78)/ABS(G78)</f>
        <v>1.0122292538152706</v>
      </c>
      <c r="R78" s="6">
        <f t="shared" si="10"/>
        <v>2.3709713656859595E-2</v>
      </c>
    </row>
    <row r="79" spans="1:18" x14ac:dyDescent="0.55000000000000004">
      <c r="A79" s="2">
        <v>43586</v>
      </c>
      <c r="B79">
        <v>26.260748213827416</v>
      </c>
      <c r="C79">
        <v>0.11180555555555556</v>
      </c>
      <c r="D79">
        <v>0.10204277571149312</v>
      </c>
      <c r="E79" s="1">
        <f t="shared" si="7"/>
        <v>26.474596545094464</v>
      </c>
      <c r="F79">
        <v>5.04</v>
      </c>
      <c r="G79">
        <f t="shared" si="6"/>
        <v>21.434596545094465</v>
      </c>
      <c r="H79">
        <v>4.6061428571428573E-2</v>
      </c>
      <c r="I79" s="3">
        <v>0</v>
      </c>
      <c r="J79">
        <v>1.3665568562725016E-3</v>
      </c>
      <c r="K79">
        <v>5.7283826164874554E-2</v>
      </c>
      <c r="L79">
        <f t="shared" si="8"/>
        <v>0.10471181159257563</v>
      </c>
      <c r="M79">
        <f t="shared" si="9"/>
        <v>21.329884733501892</v>
      </c>
      <c r="N79">
        <v>0.34117938881421744</v>
      </c>
      <c r="O79">
        <f>+M79+N79</f>
        <v>21.67106412231611</v>
      </c>
      <c r="P79" s="5">
        <f>+(G79-L79)/ABS(G79)</f>
        <v>0.99511482236802162</v>
      </c>
      <c r="Q79" s="5">
        <f>+(G79+N79-L79)/ABS(G79)</f>
        <v>1.0110320516984845</v>
      </c>
      <c r="R79" s="6">
        <f t="shared" si="10"/>
        <v>1.5995369552013639E-2</v>
      </c>
    </row>
    <row r="80" spans="1:18" x14ac:dyDescent="0.55000000000000004">
      <c r="A80" s="2">
        <v>43617</v>
      </c>
      <c r="B80">
        <v>11.696962986673569</v>
      </c>
      <c r="C80">
        <v>0.11180555555555556</v>
      </c>
      <c r="D80">
        <v>0</v>
      </c>
      <c r="E80" s="1">
        <f t="shared" si="7"/>
        <v>11.808768542229124</v>
      </c>
      <c r="F80">
        <v>5.04</v>
      </c>
      <c r="G80">
        <f t="shared" si="6"/>
        <v>6.7687685422291244</v>
      </c>
      <c r="H80">
        <v>4.6061428571428573E-2</v>
      </c>
      <c r="I80" s="3">
        <v>0</v>
      </c>
      <c r="J80">
        <v>4.9721197290151044E-2</v>
      </c>
      <c r="K80">
        <v>5.9193287037037037E-2</v>
      </c>
      <c r="L80">
        <f t="shared" si="8"/>
        <v>0.15497591289861667</v>
      </c>
      <c r="M80">
        <f t="shared" si="9"/>
        <v>6.6137926293305069</v>
      </c>
      <c r="N80">
        <v>0.28232974054783949</v>
      </c>
      <c r="O80">
        <f>+M80+N80</f>
        <v>6.8961223698783467</v>
      </c>
      <c r="P80" s="5">
        <f>+(G80-L80)/ABS(G80)</f>
        <v>0.97710426764754177</v>
      </c>
      <c r="Q80" s="5">
        <f>+(G80+N80-L80)/ABS(G80)</f>
        <v>1.018814918379124</v>
      </c>
      <c r="R80" s="6">
        <f t="shared" si="10"/>
        <v>4.2688024310858858E-2</v>
      </c>
    </row>
    <row r="81" spans="1:18" x14ac:dyDescent="0.55000000000000004">
      <c r="A81" s="2">
        <v>43647</v>
      </c>
      <c r="B81">
        <v>8.9145642921860642</v>
      </c>
      <c r="C81">
        <v>0.11180555555555556</v>
      </c>
      <c r="D81">
        <v>0</v>
      </c>
      <c r="E81" s="1">
        <f t="shared" si="7"/>
        <v>9.0263698477416199</v>
      </c>
      <c r="F81">
        <v>3.87</v>
      </c>
      <c r="G81">
        <f t="shared" si="6"/>
        <v>5.1563698477416198</v>
      </c>
      <c r="H81">
        <v>4.6061428571428573E-2</v>
      </c>
      <c r="I81" s="3">
        <v>0</v>
      </c>
      <c r="J81">
        <v>2.9988289982946111E-2</v>
      </c>
      <c r="K81">
        <v>5.7283826164874554E-2</v>
      </c>
      <c r="L81">
        <f t="shared" si="8"/>
        <v>0.13333354471924924</v>
      </c>
      <c r="M81">
        <f t="shared" si="9"/>
        <v>5.0230363030223701</v>
      </c>
      <c r="N81">
        <v>0.30835477803912786</v>
      </c>
      <c r="O81">
        <f>+M81+N81</f>
        <v>5.3313910810614979</v>
      </c>
      <c r="P81" s="5">
        <f>+(G81-L81)/ABS(G81)</f>
        <v>0.97414197416858161</v>
      </c>
      <c r="Q81" s="5">
        <f>+(G81+N81-L81)/ABS(G81)</f>
        <v>1.0339427229791389</v>
      </c>
      <c r="R81" s="6">
        <f t="shared" si="10"/>
        <v>6.1388124520141446E-2</v>
      </c>
    </row>
    <row r="82" spans="1:18" x14ac:dyDescent="0.55000000000000004">
      <c r="A82" s="2">
        <v>43678</v>
      </c>
      <c r="B82">
        <v>9.6537460588917323</v>
      </c>
      <c r="C82">
        <v>0.11180555555555556</v>
      </c>
      <c r="D82">
        <v>0</v>
      </c>
      <c r="E82" s="1">
        <f t="shared" si="7"/>
        <v>9.765551614447288</v>
      </c>
      <c r="F82">
        <v>3.87</v>
      </c>
      <c r="G82">
        <f t="shared" si="6"/>
        <v>5.8955516144472879</v>
      </c>
      <c r="H82">
        <v>4.6061428571428573E-2</v>
      </c>
      <c r="I82" s="3">
        <v>0</v>
      </c>
      <c r="J82">
        <v>4.4429738668501008E-2</v>
      </c>
      <c r="K82">
        <v>5.7283826164874554E-2</v>
      </c>
      <c r="L82">
        <f t="shared" si="8"/>
        <v>0.14777499340480416</v>
      </c>
      <c r="M82">
        <f t="shared" si="9"/>
        <v>5.7477766210424841</v>
      </c>
      <c r="N82">
        <v>0.26783070116487456</v>
      </c>
      <c r="O82">
        <f>+M82+N82</f>
        <v>6.0156073222073587</v>
      </c>
      <c r="P82" s="5">
        <f>+(G82-L82)/ABS(G82)</f>
        <v>0.97493449246671415</v>
      </c>
      <c r="Q82" s="5">
        <f>+(G82+N82-L82)/ABS(G82)</f>
        <v>1.0203637785929767</v>
      </c>
      <c r="R82" s="6">
        <f t="shared" si="10"/>
        <v>4.6597270357437416E-2</v>
      </c>
    </row>
    <row r="83" spans="1:18" x14ac:dyDescent="0.55000000000000004">
      <c r="A83" s="2">
        <v>43709</v>
      </c>
      <c r="B83">
        <v>8.772503165143398</v>
      </c>
      <c r="C83">
        <v>0.11180555555555556</v>
      </c>
      <c r="D83">
        <v>0</v>
      </c>
      <c r="E83" s="1">
        <f t="shared" si="7"/>
        <v>8.8843087206989537</v>
      </c>
      <c r="F83">
        <v>3.87</v>
      </c>
      <c r="G83">
        <f t="shared" si="6"/>
        <v>5.0143087206989536</v>
      </c>
      <c r="H83">
        <v>4.6061428571428573E-2</v>
      </c>
      <c r="I83" s="3">
        <v>0</v>
      </c>
      <c r="J83">
        <v>2.0950212194601466E-2</v>
      </c>
      <c r="K83">
        <v>5.9193287037037037E-2</v>
      </c>
      <c r="L83">
        <f t="shared" si="8"/>
        <v>0.12620492780306708</v>
      </c>
      <c r="M83">
        <f t="shared" si="9"/>
        <v>4.8881037928958859</v>
      </c>
      <c r="N83">
        <v>0.28695683834876545</v>
      </c>
      <c r="O83">
        <f>+M83+N83</f>
        <v>5.1750606312446514</v>
      </c>
      <c r="P83" s="5">
        <f>+(G83-L83)/ABS(G83)</f>
        <v>0.97483104155871059</v>
      </c>
      <c r="Q83" s="5">
        <f>+(G83+N83-L83)/ABS(G83)</f>
        <v>1.0320586384883161</v>
      </c>
      <c r="R83" s="6">
        <f t="shared" si="10"/>
        <v>5.8705144265924505E-2</v>
      </c>
    </row>
    <row r="84" spans="1:18" x14ac:dyDescent="0.55000000000000004">
      <c r="A84" s="2">
        <v>43739</v>
      </c>
      <c r="B84">
        <v>8.3403334042457704</v>
      </c>
      <c r="C84">
        <v>0.11180555555555556</v>
      </c>
      <c r="D84">
        <v>0</v>
      </c>
      <c r="E84" s="1">
        <f t="shared" si="7"/>
        <v>8.4521389598013261</v>
      </c>
      <c r="F84">
        <v>3.87</v>
      </c>
      <c r="G84">
        <f t="shared" si="6"/>
        <v>4.582138959801326</v>
      </c>
      <c r="H84">
        <v>4.6061428571428573E-2</v>
      </c>
      <c r="I84" s="3">
        <v>0</v>
      </c>
      <c r="J84">
        <v>3.8997526022670065E-2</v>
      </c>
      <c r="K84">
        <v>0</v>
      </c>
      <c r="L84">
        <f t="shared" si="8"/>
        <v>8.5058954594098637E-2</v>
      </c>
      <c r="M84">
        <f t="shared" si="9"/>
        <v>4.4970800052072271</v>
      </c>
      <c r="N84">
        <v>0.2745609085648148</v>
      </c>
      <c r="O84">
        <f>+M84+N84</f>
        <v>4.7716409137720417</v>
      </c>
      <c r="P84" s="5">
        <f>+(G84-L84)/ABS(G84)</f>
        <v>0.98143684525058861</v>
      </c>
      <c r="Q84" s="5">
        <f>+(G84+N84-L84)/ABS(G84)</f>
        <v>1.0413566580222029</v>
      </c>
      <c r="R84" s="6">
        <f t="shared" si="10"/>
        <v>6.1053151877862366E-2</v>
      </c>
    </row>
    <row r="85" spans="1:18" x14ac:dyDescent="0.55000000000000004">
      <c r="A85" s="2">
        <v>43770</v>
      </c>
      <c r="B85">
        <v>11.09461586004562</v>
      </c>
      <c r="C85">
        <v>0.11180555555555556</v>
      </c>
      <c r="D85">
        <v>0</v>
      </c>
      <c r="E85" s="1">
        <f t="shared" si="7"/>
        <v>11.206421415601175</v>
      </c>
      <c r="F85">
        <v>5.04</v>
      </c>
      <c r="G85">
        <f t="shared" si="6"/>
        <v>6.1664214156011754</v>
      </c>
      <c r="H85">
        <v>4.6061428571428573E-2</v>
      </c>
      <c r="I85" s="3">
        <v>0</v>
      </c>
      <c r="J85">
        <v>0</v>
      </c>
      <c r="K85">
        <v>0</v>
      </c>
      <c r="L85">
        <f t="shared" si="8"/>
        <v>4.6061428571428573E-2</v>
      </c>
      <c r="M85">
        <f t="shared" si="9"/>
        <v>6.1203599870297465</v>
      </c>
      <c r="N85">
        <v>0.30878804976851854</v>
      </c>
      <c r="O85">
        <f>+M85+N85</f>
        <v>6.4291480367982654</v>
      </c>
      <c r="P85" s="5">
        <f>+(G85-L85)/ABS(G85)</f>
        <v>0.99253028207658778</v>
      </c>
      <c r="Q85" s="5">
        <f>+(G85+N85-L85)/ABS(G85)</f>
        <v>1.04260601141083</v>
      </c>
      <c r="R85" s="6">
        <f t="shared" si="10"/>
        <v>5.0452595994827439E-2</v>
      </c>
    </row>
    <row r="86" spans="1:18" x14ac:dyDescent="0.55000000000000004">
      <c r="A86" s="2">
        <v>43800</v>
      </c>
      <c r="B86">
        <v>11.7702575932413</v>
      </c>
      <c r="C86">
        <v>0.11180555555555556</v>
      </c>
      <c r="D86">
        <v>0</v>
      </c>
      <c r="E86" s="1">
        <f t="shared" si="7"/>
        <v>11.882063148796856</v>
      </c>
      <c r="F86">
        <v>5.04</v>
      </c>
      <c r="G86">
        <f t="shared" si="6"/>
        <v>6.8420631487968562</v>
      </c>
      <c r="H86">
        <v>4.6061428571428573E-2</v>
      </c>
      <c r="I86" s="3">
        <v>0</v>
      </c>
      <c r="J86">
        <v>3.2074697790608959E-2</v>
      </c>
      <c r="K86">
        <v>0</v>
      </c>
      <c r="L86">
        <f t="shared" si="8"/>
        <v>7.8136126362037539E-2</v>
      </c>
      <c r="M86">
        <f t="shared" si="9"/>
        <v>6.7639270224348182</v>
      </c>
      <c r="N86">
        <v>0.27274569239097968</v>
      </c>
      <c r="O86">
        <f>+M86+N86</f>
        <v>7.0366727148257979</v>
      </c>
      <c r="P86" s="5">
        <f>+(G86-L86)/ABS(G86)</f>
        <v>0.98858003431672836</v>
      </c>
      <c r="Q86" s="5">
        <f>+(G86+N86-L86)/ABS(G86)</f>
        <v>1.0284431116458144</v>
      </c>
      <c r="R86" s="6">
        <f t="shared" si="10"/>
        <v>4.0323571127590045E-2</v>
      </c>
    </row>
    <row r="87" spans="1:18" x14ac:dyDescent="0.55000000000000004">
      <c r="A87" s="2">
        <v>43831</v>
      </c>
      <c r="B87">
        <v>9.5206552979683821</v>
      </c>
      <c r="C87">
        <v>0.11180555555555556</v>
      </c>
      <c r="D87">
        <v>0</v>
      </c>
      <c r="E87" s="1">
        <f t="shared" si="7"/>
        <v>9.6324608535239378</v>
      </c>
      <c r="F87">
        <v>5.04</v>
      </c>
      <c r="G87">
        <f t="shared" si="6"/>
        <v>4.5924608535239377</v>
      </c>
      <c r="H87">
        <v>4.6061428571428573E-2</v>
      </c>
      <c r="I87" s="3">
        <v>0</v>
      </c>
      <c r="J87">
        <v>3.7893938295914913E-2</v>
      </c>
      <c r="K87">
        <v>0</v>
      </c>
      <c r="L87">
        <f t="shared" si="8"/>
        <v>8.3955366867343478E-2</v>
      </c>
      <c r="M87">
        <f t="shared" si="9"/>
        <v>4.5085054866565937</v>
      </c>
      <c r="N87">
        <v>0.24825812518667861</v>
      </c>
      <c r="O87">
        <f>+M87+N87</f>
        <v>4.7567636118432723</v>
      </c>
      <c r="P87" s="5">
        <f>+(G87-L87)/ABS(G87)</f>
        <v>0.98171887152768611</v>
      </c>
      <c r="Q87" s="5">
        <f>+(G87+N87-L87)/ABS(G87)</f>
        <v>1.0357766268586179</v>
      </c>
      <c r="R87" s="6">
        <f t="shared" si="10"/>
        <v>5.5064394602917954E-2</v>
      </c>
    </row>
    <row r="88" spans="1:18" x14ac:dyDescent="0.55000000000000004">
      <c r="A88" s="2">
        <v>43862</v>
      </c>
      <c r="B88">
        <v>8.4085903931193737</v>
      </c>
      <c r="C88">
        <v>0.11180555555555556</v>
      </c>
      <c r="D88">
        <v>0</v>
      </c>
      <c r="E88" s="1">
        <f t="shared" si="7"/>
        <v>8.5203959486749294</v>
      </c>
      <c r="F88">
        <v>5.81</v>
      </c>
      <c r="G88">
        <f t="shared" si="6"/>
        <v>2.7103959486749298</v>
      </c>
      <c r="H88">
        <v>4.6061428571428573E-2</v>
      </c>
      <c r="I88" s="3">
        <v>0</v>
      </c>
      <c r="J88">
        <v>3.9644410114297202E-2</v>
      </c>
      <c r="K88">
        <v>0</v>
      </c>
      <c r="L88">
        <f t="shared" si="8"/>
        <v>8.5705838685725774E-2</v>
      </c>
      <c r="M88">
        <f t="shared" si="9"/>
        <v>2.6246901099892042</v>
      </c>
      <c r="N88">
        <v>0.24245856780810984</v>
      </c>
      <c r="O88">
        <f>+M88+N88</f>
        <v>2.8671486777973141</v>
      </c>
      <c r="P88" s="5">
        <f>+(G88-L88)/ABS(G88)</f>
        <v>0.96837884932361051</v>
      </c>
      <c r="Q88" s="5">
        <f>+(G88+N88-L88)/ABS(G88)</f>
        <v>1.0578338855616347</v>
      </c>
      <c r="R88" s="6">
        <f t="shared" si="10"/>
        <v>9.2376073992638738E-2</v>
      </c>
    </row>
    <row r="89" spans="1:18" x14ac:dyDescent="0.55000000000000004">
      <c r="A89" s="2">
        <v>43891</v>
      </c>
      <c r="B89">
        <v>16.550448811814846</v>
      </c>
      <c r="C89">
        <v>0.11180555555555556</v>
      </c>
      <c r="D89">
        <v>0.29220576993068925</v>
      </c>
      <c r="E89" s="1">
        <f t="shared" si="7"/>
        <v>16.954460137301091</v>
      </c>
      <c r="F89">
        <v>5.81</v>
      </c>
      <c r="G89">
        <f t="shared" si="6"/>
        <v>11.144460137301092</v>
      </c>
      <c r="H89">
        <v>4.6061428571428573E-2</v>
      </c>
      <c r="I89" s="3">
        <v>0</v>
      </c>
      <c r="J89">
        <v>0</v>
      </c>
      <c r="K89">
        <v>0</v>
      </c>
      <c r="L89">
        <f t="shared" si="8"/>
        <v>4.6061428571428573E-2</v>
      </c>
      <c r="M89">
        <f t="shared" si="9"/>
        <v>11.098398708729663</v>
      </c>
      <c r="N89">
        <v>0.29014451258213858</v>
      </c>
      <c r="O89">
        <f>+M89+N89</f>
        <v>11.388543221311801</v>
      </c>
      <c r="P89" s="5">
        <f>+(G89-L89)/ABS(G89)</f>
        <v>0.99586687663610918</v>
      </c>
      <c r="Q89" s="5">
        <f>+(G89+N89-L89)/ABS(G89)</f>
        <v>1.0219017414036728</v>
      </c>
      <c r="R89" s="6">
        <f t="shared" si="10"/>
        <v>2.6142916667241296E-2</v>
      </c>
    </row>
    <row r="90" spans="1:18" x14ac:dyDescent="0.55000000000000004">
      <c r="A90" s="2">
        <v>43922</v>
      </c>
      <c r="B90">
        <v>18.672531671974003</v>
      </c>
      <c r="C90">
        <v>0.11180555555555556</v>
      </c>
      <c r="D90">
        <v>0.16612699304606007</v>
      </c>
      <c r="E90" s="1">
        <f t="shared" si="7"/>
        <v>18.950464220575618</v>
      </c>
      <c r="F90">
        <v>5.04</v>
      </c>
      <c r="G90">
        <f t="shared" si="6"/>
        <v>13.910464220575619</v>
      </c>
      <c r="H90">
        <v>4.6061428571428573E-2</v>
      </c>
      <c r="I90" s="3">
        <v>0</v>
      </c>
      <c r="J90">
        <v>1.3632233364430934E-2</v>
      </c>
      <c r="K90">
        <v>5.9193287037037037E-2</v>
      </c>
      <c r="L90">
        <f t="shared" si="8"/>
        <v>0.11888694897289655</v>
      </c>
      <c r="M90">
        <f t="shared" si="9"/>
        <v>13.791577271602723</v>
      </c>
      <c r="N90">
        <v>0.31560358796296295</v>
      </c>
      <c r="O90">
        <f>+M90+N90</f>
        <v>14.107180859565686</v>
      </c>
      <c r="P90" s="5">
        <f>+(G90-L90)/ABS(G90)</f>
        <v>0.99145341614142213</v>
      </c>
      <c r="Q90" s="5">
        <f>+(G90+N90-L90)/ABS(G90)</f>
        <v>1.0141416300614248</v>
      </c>
      <c r="R90" s="6">
        <f t="shared" si="10"/>
        <v>2.2883792168775348E-2</v>
      </c>
    </row>
    <row r="91" spans="1:18" x14ac:dyDescent="0.55000000000000004">
      <c r="A91" s="2">
        <v>43952</v>
      </c>
      <c r="B91">
        <v>9.3465540364140285</v>
      </c>
      <c r="C91">
        <v>0.11180555555555556</v>
      </c>
      <c r="D91">
        <v>0</v>
      </c>
      <c r="E91" s="1">
        <f t="shared" si="7"/>
        <v>9.4583595919695842</v>
      </c>
      <c r="F91">
        <v>5.04</v>
      </c>
      <c r="G91">
        <f t="shared" si="6"/>
        <v>4.4183595919695842</v>
      </c>
      <c r="H91">
        <v>4.6061428571428573E-2</v>
      </c>
      <c r="I91" s="3">
        <v>0</v>
      </c>
      <c r="J91">
        <v>3.321853339441342E-2</v>
      </c>
      <c r="K91">
        <v>5.7283826164874554E-2</v>
      </c>
      <c r="L91">
        <f t="shared" si="8"/>
        <v>0.13656378813071657</v>
      </c>
      <c r="M91">
        <f t="shared" si="9"/>
        <v>4.2817958038388673</v>
      </c>
      <c r="N91">
        <v>0.33177895385304662</v>
      </c>
      <c r="O91">
        <f>+M91+N91</f>
        <v>4.6135747576919135</v>
      </c>
      <c r="P91" s="5">
        <f>+(G91-L91)/ABS(G91)</f>
        <v>0.96909174428017963</v>
      </c>
      <c r="Q91" s="5">
        <f>+(G91+N91-L91)/ABS(G91)</f>
        <v>1.0441827247553901</v>
      </c>
      <c r="R91" s="6">
        <f t="shared" si="10"/>
        <v>7.7485935587023713E-2</v>
      </c>
    </row>
    <row r="92" spans="1:18" x14ac:dyDescent="0.55000000000000004">
      <c r="A92" s="2">
        <v>43983</v>
      </c>
      <c r="B92">
        <v>4.4082661184582763</v>
      </c>
      <c r="C92">
        <v>0.11180555555555556</v>
      </c>
      <c r="D92">
        <v>0</v>
      </c>
      <c r="E92" s="1">
        <f t="shared" si="7"/>
        <v>4.520071674013832</v>
      </c>
      <c r="F92">
        <v>5.04</v>
      </c>
      <c r="G92">
        <f t="shared" si="6"/>
        <v>-0.51992832598616801</v>
      </c>
      <c r="H92">
        <v>4.6061428571428573E-2</v>
      </c>
      <c r="I92" s="3">
        <v>0</v>
      </c>
      <c r="J92">
        <v>3.5338024797581205E-2</v>
      </c>
      <c r="K92">
        <v>5.9193287037037037E-2</v>
      </c>
      <c r="L92">
        <f t="shared" si="8"/>
        <v>0.1405927404060468</v>
      </c>
      <c r="M92">
        <f t="shared" si="9"/>
        <v>-0.66052106639221486</v>
      </c>
      <c r="N92">
        <v>0.23815147569444445</v>
      </c>
      <c r="O92">
        <f>+M92+N92</f>
        <v>-0.42236959069777041</v>
      </c>
      <c r="P92" s="5">
        <f>+(G92-L92)/ABS(G92)</f>
        <v>-1.2704079262067114</v>
      </c>
      <c r="Q92" s="5">
        <f>+(G92+N92-L92)/ABS(G92)</f>
        <v>-0.81236118439334071</v>
      </c>
      <c r="R92" s="6">
        <f t="shared" si="10"/>
        <v>0.36055091625651642</v>
      </c>
    </row>
    <row r="93" spans="1:18" x14ac:dyDescent="0.55000000000000004">
      <c r="A93" s="2">
        <v>44013</v>
      </c>
      <c r="B93">
        <v>2.6590386247150937</v>
      </c>
      <c r="C93">
        <v>0.11180555555555556</v>
      </c>
      <c r="D93">
        <v>0</v>
      </c>
      <c r="E93" s="1">
        <f t="shared" si="7"/>
        <v>2.7708441802706494</v>
      </c>
      <c r="F93">
        <v>3.87</v>
      </c>
      <c r="G93">
        <f t="shared" si="6"/>
        <v>-1.0991558197293507</v>
      </c>
      <c r="H93">
        <v>4.6061428571428573E-2</v>
      </c>
      <c r="I93" s="3">
        <v>0</v>
      </c>
      <c r="J93">
        <v>3.705896474374408E-2</v>
      </c>
      <c r="K93">
        <v>5.7283826164874554E-2</v>
      </c>
      <c r="L93">
        <f t="shared" si="8"/>
        <v>0.14040421948004722</v>
      </c>
      <c r="M93">
        <f t="shared" si="9"/>
        <v>-1.2395600392093977</v>
      </c>
      <c r="N93">
        <v>0.216826416890681</v>
      </c>
      <c r="O93">
        <f>+M93+N93</f>
        <v>-1.0227336223187167</v>
      </c>
      <c r="P93" s="5">
        <f>+(G93-L93)/ABS(G93)</f>
        <v>-1.1277382305218739</v>
      </c>
      <c r="Q93" s="5">
        <f>+(G93+N93-L93)/ABS(G93)</f>
        <v>-0.93047191668470486</v>
      </c>
      <c r="R93" s="6">
        <f t="shared" si="10"/>
        <v>0.1749220772145694</v>
      </c>
    </row>
    <row r="94" spans="1:18" x14ac:dyDescent="0.55000000000000004">
      <c r="A94" s="2">
        <v>44044</v>
      </c>
      <c r="B94">
        <v>2.4098380901868874</v>
      </c>
      <c r="C94">
        <v>0.11180555555555556</v>
      </c>
      <c r="D94">
        <v>0</v>
      </c>
      <c r="E94" s="1">
        <f t="shared" si="7"/>
        <v>2.5216436457424432</v>
      </c>
      <c r="F94">
        <v>3.87</v>
      </c>
      <c r="G94">
        <f t="shared" si="6"/>
        <v>-1.348356354257557</v>
      </c>
      <c r="H94">
        <v>4.6061428571428573E-2</v>
      </c>
      <c r="I94" s="3">
        <v>0</v>
      </c>
      <c r="J94">
        <v>3.6168385496469668E-2</v>
      </c>
      <c r="K94">
        <v>5.7283826164874554E-2</v>
      </c>
      <c r="L94">
        <f t="shared" si="8"/>
        <v>0.1395136402327728</v>
      </c>
      <c r="M94">
        <f t="shared" si="9"/>
        <v>-1.4878699944903295</v>
      </c>
      <c r="N94">
        <v>0.24728165602598567</v>
      </c>
      <c r="O94">
        <f>+M94+N94</f>
        <v>-1.2405883384643439</v>
      </c>
      <c r="P94" s="5">
        <f>+(G94-L94)/ABS(G94)</f>
        <v>-1.1034694128093407</v>
      </c>
      <c r="Q94" s="5">
        <f>+(G94+N94-L94)/ABS(G94)</f>
        <v>-0.92007452966500614</v>
      </c>
      <c r="R94" s="6">
        <f t="shared" si="10"/>
        <v>0.16619842925906445</v>
      </c>
    </row>
    <row r="95" spans="1:18" x14ac:dyDescent="0.55000000000000004">
      <c r="A95" s="2">
        <v>44075</v>
      </c>
      <c r="B95">
        <v>2.9380868927412229</v>
      </c>
      <c r="C95">
        <v>0.11180555555555556</v>
      </c>
      <c r="D95">
        <v>0</v>
      </c>
      <c r="E95" s="1">
        <f t="shared" si="7"/>
        <v>3.0498924482967786</v>
      </c>
      <c r="F95">
        <v>3.87</v>
      </c>
      <c r="G95">
        <f t="shared" si="6"/>
        <v>-0.82010755170322147</v>
      </c>
      <c r="H95">
        <v>4.6061428571428573E-2</v>
      </c>
      <c r="I95" s="3">
        <v>0</v>
      </c>
      <c r="J95">
        <v>3.7525539356266679E-2</v>
      </c>
      <c r="K95">
        <v>5.9193287037037037E-2</v>
      </c>
      <c r="L95">
        <f t="shared" si="8"/>
        <v>0.14278025496473229</v>
      </c>
      <c r="M95">
        <f t="shared" si="9"/>
        <v>-0.96288780666795382</v>
      </c>
      <c r="N95">
        <v>0.24049141589506173</v>
      </c>
      <c r="O95">
        <f>+M95+N95</f>
        <v>-0.72239639077289208</v>
      </c>
      <c r="P95" s="5">
        <f>+(G95-L95)/ABS(G95)</f>
        <v>-1.1740994271644036</v>
      </c>
      <c r="Q95" s="5">
        <f>+(G95+N95-L95)/ABS(G95)</f>
        <v>-0.88085567468876469</v>
      </c>
      <c r="R95" s="6">
        <f t="shared" si="10"/>
        <v>0.24976057878152547</v>
      </c>
    </row>
    <row r="96" spans="1:18" x14ac:dyDescent="0.55000000000000004">
      <c r="A96" s="2">
        <v>44105</v>
      </c>
      <c r="B96">
        <v>4.1427940529488616</v>
      </c>
      <c r="C96">
        <v>0.11180555555555556</v>
      </c>
      <c r="D96">
        <v>0</v>
      </c>
      <c r="E96" s="1">
        <f t="shared" si="7"/>
        <v>4.2545996085044173</v>
      </c>
      <c r="F96">
        <v>3.87</v>
      </c>
      <c r="G96">
        <f t="shared" si="6"/>
        <v>0.38459960850441721</v>
      </c>
      <c r="H96">
        <v>4.6061428571428573E-2</v>
      </c>
      <c r="I96" s="3">
        <v>0</v>
      </c>
      <c r="J96">
        <v>2.7469068319681354E-2</v>
      </c>
      <c r="K96">
        <v>0</v>
      </c>
      <c r="L96">
        <f t="shared" si="8"/>
        <v>7.3530496891109923E-2</v>
      </c>
      <c r="M96">
        <f t="shared" si="9"/>
        <v>0.31106911161330725</v>
      </c>
      <c r="N96">
        <v>0.26910153916517326</v>
      </c>
      <c r="O96">
        <f>+M96+N96</f>
        <v>0.58017065077848051</v>
      </c>
      <c r="P96" s="5">
        <f>+(G96-L96)/ABS(G96)</f>
        <v>0.8088128659905659</v>
      </c>
      <c r="Q96" s="5">
        <f>+(G96+N96-L96)/ABS(G96)</f>
        <v>1.5085055677372514</v>
      </c>
      <c r="R96" s="6">
        <f t="shared" si="10"/>
        <v>0.86508601824695364</v>
      </c>
    </row>
    <row r="97" spans="1:18" x14ac:dyDescent="0.55000000000000004">
      <c r="A97" s="2">
        <v>44136</v>
      </c>
      <c r="B97">
        <v>5.0015802286524247</v>
      </c>
      <c r="C97">
        <v>0.11180555555555556</v>
      </c>
      <c r="D97">
        <v>0</v>
      </c>
      <c r="E97" s="1">
        <f t="shared" si="7"/>
        <v>5.1133857842079804</v>
      </c>
      <c r="F97">
        <v>5.04</v>
      </c>
      <c r="G97">
        <f t="shared" si="6"/>
        <v>7.3385784207980365E-2</v>
      </c>
      <c r="H97">
        <v>4.6061428571428573E-2</v>
      </c>
      <c r="I97" s="3">
        <v>0</v>
      </c>
      <c r="J97">
        <v>2.5759526446839921E-2</v>
      </c>
      <c r="K97">
        <v>0</v>
      </c>
      <c r="L97">
        <f t="shared" si="8"/>
        <v>7.182095501826849E-2</v>
      </c>
      <c r="M97">
        <f t="shared" si="9"/>
        <v>1.5648291897118714E-3</v>
      </c>
      <c r="N97">
        <v>0.24823044463734567</v>
      </c>
      <c r="O97">
        <f>+M97+N97</f>
        <v>0.24979527382705755</v>
      </c>
      <c r="P97" s="5">
        <f>+(G97-L97)/ABS(G97)</f>
        <v>2.1323328579238743E-2</v>
      </c>
      <c r="Q97" s="5">
        <f>+(G97+N97-L97)/ABS(G97)</f>
        <v>3.4038646111503086</v>
      </c>
      <c r="R97" s="6">
        <f t="shared" si="10"/>
        <v>158.63101626002467</v>
      </c>
    </row>
    <row r="98" spans="1:18" x14ac:dyDescent="0.55000000000000004">
      <c r="A98" s="2">
        <v>44166</v>
      </c>
      <c r="B98">
        <v>10.088859732784634</v>
      </c>
      <c r="C98">
        <v>0.11180555555555556</v>
      </c>
      <c r="D98">
        <v>2.3394346087824629E-2</v>
      </c>
      <c r="E98" s="1">
        <f t="shared" si="7"/>
        <v>10.224059634428015</v>
      </c>
      <c r="F98">
        <v>5.04</v>
      </c>
      <c r="G98">
        <f t="shared" si="6"/>
        <v>5.1840596344280145</v>
      </c>
      <c r="H98">
        <v>4.6061428571428573E-2</v>
      </c>
      <c r="I98" s="3">
        <v>0</v>
      </c>
      <c r="J98">
        <v>1.3426490325457733E-2</v>
      </c>
      <c r="K98">
        <v>0</v>
      </c>
      <c r="L98">
        <f t="shared" si="8"/>
        <v>5.9487918896886302E-2</v>
      </c>
      <c r="M98">
        <f t="shared" si="9"/>
        <v>5.1245717155311281</v>
      </c>
      <c r="N98">
        <v>0.27395887003434888</v>
      </c>
      <c r="O98">
        <f>+M98+N98</f>
        <v>5.398530585565477</v>
      </c>
      <c r="P98" s="5">
        <f>+(G98-L98)/ABS(G98)</f>
        <v>0.98852483900805854</v>
      </c>
      <c r="Q98" s="5">
        <f>+(G98+N98-L98)/ABS(G98)</f>
        <v>1.0413712353370963</v>
      </c>
      <c r="R98" s="6">
        <f t="shared" si="10"/>
        <v>5.3459856792335947E-2</v>
      </c>
    </row>
    <row r="99" spans="1:18" x14ac:dyDescent="0.55000000000000004">
      <c r="A99" s="2">
        <v>44197</v>
      </c>
      <c r="B99">
        <v>17.066504948591952</v>
      </c>
      <c r="C99">
        <v>0.11180555555555556</v>
      </c>
      <c r="D99">
        <v>6.2748322266909476E-2</v>
      </c>
      <c r="E99" s="1">
        <f t="shared" si="7"/>
        <v>17.241058826414417</v>
      </c>
      <c r="F99">
        <v>5.04</v>
      </c>
      <c r="G99">
        <f t="shared" ref="G99:G130" si="11">E99-F99</f>
        <v>12.201058826414418</v>
      </c>
      <c r="H99">
        <v>4.6061428571428573E-2</v>
      </c>
      <c r="I99" s="3">
        <v>0</v>
      </c>
      <c r="J99">
        <v>2.5535138185922956E-2</v>
      </c>
      <c r="K99">
        <v>0</v>
      </c>
      <c r="L99">
        <f t="shared" si="8"/>
        <v>7.1596566757351529E-2</v>
      </c>
      <c r="M99">
        <f t="shared" si="9"/>
        <v>12.129462259657066</v>
      </c>
      <c r="N99">
        <v>0.23493277236409796</v>
      </c>
      <c r="O99">
        <f>+M99+N99</f>
        <v>12.364395032021164</v>
      </c>
      <c r="P99" s="5">
        <f>+(G99-L99)/ABS(G99)</f>
        <v>0.9941319382378232</v>
      </c>
      <c r="Q99" s="5">
        <f>+(G99+N99-L99)/ABS(G99)</f>
        <v>1.0133870517248171</v>
      </c>
      <c r="R99" s="6">
        <f t="shared" si="10"/>
        <v>1.9368770629304127E-2</v>
      </c>
    </row>
    <row r="100" spans="1:18" x14ac:dyDescent="0.55000000000000004">
      <c r="A100" s="2">
        <v>44228</v>
      </c>
      <c r="B100">
        <v>23.231258889331393</v>
      </c>
      <c r="C100">
        <v>0.11180555555555556</v>
      </c>
      <c r="D100">
        <v>1.008356173963482E-3</v>
      </c>
      <c r="E100" s="1">
        <f t="shared" si="7"/>
        <v>23.344072801060911</v>
      </c>
      <c r="F100">
        <v>5.81</v>
      </c>
      <c r="G100">
        <f t="shared" si="11"/>
        <v>17.534072801060912</v>
      </c>
      <c r="H100">
        <v>4.6061428571428573E-2</v>
      </c>
      <c r="I100" s="3">
        <v>0</v>
      </c>
      <c r="J100">
        <v>3.5165829900296201E-2</v>
      </c>
      <c r="K100">
        <v>0</v>
      </c>
      <c r="L100">
        <f t="shared" si="8"/>
        <v>8.1227258471724767E-2</v>
      </c>
      <c r="M100">
        <f t="shared" si="9"/>
        <v>17.452845542589188</v>
      </c>
      <c r="N100">
        <v>0.23681723296957671</v>
      </c>
      <c r="O100">
        <f>+M100+N100</f>
        <v>17.689662775558766</v>
      </c>
      <c r="P100" s="5">
        <f>+(G100-L100)/ABS(G100)</f>
        <v>0.99536746200421788</v>
      </c>
      <c r="Q100" s="5">
        <f>+(G100+N100-L100)/ABS(G100)</f>
        <v>1.0088735786752545</v>
      </c>
      <c r="R100" s="6">
        <f t="shared" si="10"/>
        <v>1.3568975465444133E-2</v>
      </c>
    </row>
    <row r="101" spans="1:18" x14ac:dyDescent="0.55000000000000004">
      <c r="A101" s="2">
        <v>44256</v>
      </c>
      <c r="B101">
        <v>12.612234623007298</v>
      </c>
      <c r="C101">
        <v>0.11180555555555556</v>
      </c>
      <c r="D101">
        <v>7.9619004093964774E-2</v>
      </c>
      <c r="E101" s="1">
        <f t="shared" si="7"/>
        <v>12.803659182656819</v>
      </c>
      <c r="F101">
        <v>5.81</v>
      </c>
      <c r="G101">
        <f t="shared" si="11"/>
        <v>6.9936591826568195</v>
      </c>
      <c r="H101">
        <v>4.6061428571428573E-2</v>
      </c>
      <c r="I101" s="3">
        <v>0</v>
      </c>
      <c r="J101">
        <v>1.98253058701344E-2</v>
      </c>
      <c r="K101">
        <v>0</v>
      </c>
      <c r="L101">
        <f t="shared" si="8"/>
        <v>6.5886734441562969E-2</v>
      </c>
      <c r="M101">
        <f t="shared" si="9"/>
        <v>6.9277724482152561</v>
      </c>
      <c r="N101">
        <v>0.27343453647700122</v>
      </c>
      <c r="O101">
        <f>+M101+N101</f>
        <v>7.2012069846922575</v>
      </c>
      <c r="P101" s="5">
        <f>+(G101-L101)/ABS(G101)</f>
        <v>0.99057907559965874</v>
      </c>
      <c r="Q101" s="5">
        <f>+(G101+N101-L101)/ABS(G101)</f>
        <v>1.029676567961751</v>
      </c>
      <c r="R101" s="6">
        <f t="shared" si="10"/>
        <v>3.9469329935547172E-2</v>
      </c>
    </row>
    <row r="102" spans="1:18" x14ac:dyDescent="0.55000000000000004">
      <c r="A102" s="2">
        <v>44287</v>
      </c>
      <c r="B102">
        <v>14.325085743614409</v>
      </c>
      <c r="C102">
        <v>0.11180555555555556</v>
      </c>
      <c r="D102">
        <v>0</v>
      </c>
      <c r="E102" s="1">
        <f t="shared" si="7"/>
        <v>14.436891299169964</v>
      </c>
      <c r="F102">
        <v>5.04</v>
      </c>
      <c r="G102">
        <f t="shared" si="11"/>
        <v>9.3968912991699654</v>
      </c>
      <c r="H102">
        <v>4.6061428571428573E-2</v>
      </c>
      <c r="I102" s="3">
        <v>0</v>
      </c>
      <c r="J102">
        <v>2.9783771994353055E-2</v>
      </c>
      <c r="K102">
        <v>5.9193287037037037E-2</v>
      </c>
      <c r="L102">
        <f t="shared" si="8"/>
        <v>0.13503848760281867</v>
      </c>
      <c r="M102">
        <f t="shared" si="9"/>
        <v>9.261852811567147</v>
      </c>
      <c r="N102">
        <v>0.27260652970679011</v>
      </c>
      <c r="O102">
        <f>+M102+N102</f>
        <v>9.5344593412739371</v>
      </c>
      <c r="P102" s="5">
        <f>+(G102-L102)/ABS(G102)</f>
        <v>0.98562945092120557</v>
      </c>
      <c r="Q102" s="5">
        <f>+(G102+N102-L102)/ABS(G102)</f>
        <v>1.0146397396462512</v>
      </c>
      <c r="R102" s="6">
        <f t="shared" si="10"/>
        <v>2.9433260844561358E-2</v>
      </c>
    </row>
    <row r="103" spans="1:18" x14ac:dyDescent="0.55000000000000004">
      <c r="A103" s="2">
        <v>44317</v>
      </c>
      <c r="B103">
        <v>14.174965882509795</v>
      </c>
      <c r="C103">
        <v>0.11180555555555556</v>
      </c>
      <c r="D103">
        <v>0</v>
      </c>
      <c r="E103" s="1">
        <f t="shared" si="7"/>
        <v>14.286771438065351</v>
      </c>
      <c r="F103">
        <v>5.04</v>
      </c>
      <c r="G103">
        <f t="shared" si="11"/>
        <v>9.2467714380653518</v>
      </c>
      <c r="H103">
        <v>4.6061428571428573E-2</v>
      </c>
      <c r="I103" s="3">
        <v>0</v>
      </c>
      <c r="J103">
        <v>3.6997912631294025E-2</v>
      </c>
      <c r="K103">
        <v>5.7283826164874554E-2</v>
      </c>
      <c r="L103">
        <f t="shared" si="8"/>
        <v>0.14034316736759717</v>
      </c>
      <c r="M103">
        <f t="shared" si="9"/>
        <v>9.1064282706977533</v>
      </c>
      <c r="N103">
        <v>0.30346536178315414</v>
      </c>
      <c r="O103">
        <f>+M103+N103</f>
        <v>9.409893632480907</v>
      </c>
      <c r="P103" s="5">
        <f>+(G103-L103)/ABS(G103)</f>
        <v>0.98482246821957131</v>
      </c>
      <c r="Q103" s="5">
        <f>+(G103+N103-L103)/ABS(G103)</f>
        <v>1.0176409891288161</v>
      </c>
      <c r="R103" s="6">
        <f t="shared" si="10"/>
        <v>3.3324301555158767E-2</v>
      </c>
    </row>
    <row r="104" spans="1:18" x14ac:dyDescent="0.55000000000000004">
      <c r="A104" s="2">
        <v>44348</v>
      </c>
      <c r="B104">
        <v>9.8506972053698156</v>
      </c>
      <c r="C104">
        <v>0.11180555555555556</v>
      </c>
      <c r="D104">
        <v>0</v>
      </c>
      <c r="E104" s="1">
        <f t="shared" si="7"/>
        <v>9.9625027609253713</v>
      </c>
      <c r="F104">
        <v>5.04</v>
      </c>
      <c r="G104">
        <f t="shared" si="11"/>
        <v>4.9225027609253713</v>
      </c>
      <c r="H104">
        <v>4.6061428571428573E-2</v>
      </c>
      <c r="I104" s="3">
        <v>0</v>
      </c>
      <c r="J104">
        <v>4.2911172348937807E-2</v>
      </c>
      <c r="K104">
        <v>5.9193287037037037E-2</v>
      </c>
      <c r="L104">
        <f t="shared" si="8"/>
        <v>0.14816588795740343</v>
      </c>
      <c r="M104">
        <f t="shared" si="9"/>
        <v>4.7743368729679672</v>
      </c>
      <c r="N104">
        <v>0.1786582995756173</v>
      </c>
      <c r="O104">
        <f>+M104+N104</f>
        <v>4.9529951725435843</v>
      </c>
      <c r="P104" s="5">
        <f>+(G104-L104)/ABS(G104)</f>
        <v>0.96990029357961194</v>
      </c>
      <c r="Q104" s="5">
        <f>+(G104+N104-L104)/ABS(G104)</f>
        <v>1.0061944935532106</v>
      </c>
      <c r="R104" s="6">
        <f t="shared" si="10"/>
        <v>3.7420547466428304E-2</v>
      </c>
    </row>
    <row r="105" spans="1:18" x14ac:dyDescent="0.55000000000000004">
      <c r="A105" s="2">
        <v>44378</v>
      </c>
      <c r="B105">
        <v>9.3141619800129742</v>
      </c>
      <c r="C105">
        <v>0.11180555555555556</v>
      </c>
      <c r="D105">
        <v>0</v>
      </c>
      <c r="E105" s="1">
        <f t="shared" si="7"/>
        <v>9.42596753556853</v>
      </c>
      <c r="F105">
        <v>3.87</v>
      </c>
      <c r="G105">
        <f t="shared" si="11"/>
        <v>5.5559675355685298</v>
      </c>
      <c r="H105">
        <v>4.6061428571428573E-2</v>
      </c>
      <c r="I105" s="3">
        <v>0</v>
      </c>
      <c r="J105">
        <v>3.247208442764872E-2</v>
      </c>
      <c r="K105">
        <v>5.7283826164874554E-2</v>
      </c>
      <c r="L105">
        <f t="shared" si="8"/>
        <v>0.13581733916395183</v>
      </c>
      <c r="M105">
        <f t="shared" si="9"/>
        <v>5.4201501964045775</v>
      </c>
      <c r="N105">
        <v>0.21376120071684587</v>
      </c>
      <c r="O105">
        <f>+M105+N105</f>
        <v>5.6339113971214232</v>
      </c>
      <c r="P105" s="5">
        <f>+(G105-L105)/ABS(G105)</f>
        <v>0.97555469172660425</v>
      </c>
      <c r="Q105" s="5">
        <f>+(G105+N105-L105)/ABS(G105)</f>
        <v>1.0140288547501237</v>
      </c>
      <c r="R105" s="6">
        <f t="shared" si="10"/>
        <v>3.9438243032202766E-2</v>
      </c>
    </row>
    <row r="106" spans="1:18" x14ac:dyDescent="0.55000000000000004">
      <c r="A106" s="2">
        <v>44409</v>
      </c>
      <c r="B106">
        <v>5.046261343610519</v>
      </c>
      <c r="C106">
        <v>0.11180555555555556</v>
      </c>
      <c r="D106">
        <v>0</v>
      </c>
      <c r="E106" s="1">
        <f t="shared" si="7"/>
        <v>5.1580668991660747</v>
      </c>
      <c r="F106">
        <v>3.87</v>
      </c>
      <c r="G106">
        <f t="shared" si="11"/>
        <v>1.2880668991660746</v>
      </c>
      <c r="H106">
        <v>4.6061428571428573E-2</v>
      </c>
      <c r="I106" s="3">
        <v>0</v>
      </c>
      <c r="J106">
        <v>4.5937165316241563E-2</v>
      </c>
      <c r="K106">
        <v>5.7283826164874554E-2</v>
      </c>
      <c r="L106">
        <f t="shared" si="8"/>
        <v>0.14928242005254469</v>
      </c>
      <c r="M106">
        <f t="shared" si="9"/>
        <v>1.1387844791135302</v>
      </c>
      <c r="N106">
        <v>0.17533686155913977</v>
      </c>
      <c r="O106">
        <f>+M106+N106</f>
        <v>1.3141213406726699</v>
      </c>
      <c r="P106" s="5">
        <f>+(G106-L106)/ABS(G106)</f>
        <v>0.88410351966253176</v>
      </c>
      <c r="Q106" s="5">
        <f>+(G106+N106-L106)/ABS(G106)</f>
        <v>1.0202275530280791</v>
      </c>
      <c r="R106" s="6">
        <f t="shared" si="10"/>
        <v>0.15396843281147304</v>
      </c>
    </row>
    <row r="107" spans="1:18" x14ac:dyDescent="0.55000000000000004">
      <c r="A107" s="2">
        <v>44440</v>
      </c>
      <c r="B107">
        <v>4.7470111409503346</v>
      </c>
      <c r="C107">
        <v>0.11180555555555556</v>
      </c>
      <c r="D107">
        <v>0</v>
      </c>
      <c r="E107" s="1">
        <f t="shared" si="7"/>
        <v>4.8588166965058903</v>
      </c>
      <c r="F107">
        <v>3.87</v>
      </c>
      <c r="G107">
        <f t="shared" si="11"/>
        <v>0.98881669650589021</v>
      </c>
      <c r="H107">
        <v>4.6061428571428573E-2</v>
      </c>
      <c r="I107" s="3">
        <v>0</v>
      </c>
      <c r="J107">
        <v>4.7347542183557141E-2</v>
      </c>
      <c r="K107">
        <v>5.9193287037037037E-2</v>
      </c>
      <c r="L107">
        <f t="shared" si="8"/>
        <v>0.15260225779202274</v>
      </c>
      <c r="M107">
        <f t="shared" si="9"/>
        <v>0.83621443871386736</v>
      </c>
      <c r="N107">
        <v>0.24042262249228394</v>
      </c>
      <c r="O107">
        <f>+M107+N107</f>
        <v>1.0766370612061513</v>
      </c>
      <c r="P107" s="5">
        <f>+(G107-L107)/ABS(G107)</f>
        <v>0.84567184359723868</v>
      </c>
      <c r="Q107" s="5">
        <f>+(G107+N107-L107)/ABS(G107)</f>
        <v>1.0888135940772294</v>
      </c>
      <c r="R107" s="6">
        <f t="shared" si="10"/>
        <v>0.2875131202733881</v>
      </c>
    </row>
    <row r="108" spans="1:18" x14ac:dyDescent="0.55000000000000004">
      <c r="A108" s="2">
        <v>44470</v>
      </c>
      <c r="B108">
        <v>15.080309920852683</v>
      </c>
      <c r="C108">
        <v>0.11180555555555556</v>
      </c>
      <c r="D108">
        <v>0</v>
      </c>
      <c r="E108" s="1">
        <f t="shared" si="7"/>
        <v>15.192115476408238</v>
      </c>
      <c r="F108">
        <v>3.87</v>
      </c>
      <c r="G108">
        <f t="shared" si="11"/>
        <v>11.322115476408239</v>
      </c>
      <c r="H108">
        <v>4.6061428571428573E-2</v>
      </c>
      <c r="I108" s="3">
        <v>0</v>
      </c>
      <c r="J108">
        <v>2.9176536308759297E-3</v>
      </c>
      <c r="K108">
        <v>0</v>
      </c>
      <c r="L108">
        <f t="shared" si="8"/>
        <v>4.89790822023045E-2</v>
      </c>
      <c r="M108">
        <f t="shared" si="9"/>
        <v>11.273136394205935</v>
      </c>
      <c r="N108">
        <v>0.19204295241562128</v>
      </c>
      <c r="O108">
        <f>+M108+N108</f>
        <v>11.465179346621555</v>
      </c>
      <c r="P108" s="5">
        <f>+(G108-L108)/ABS(G108)</f>
        <v>0.99567403438832947</v>
      </c>
      <c r="Q108" s="5">
        <f>+(G108+N108-L108)/ABS(G108)</f>
        <v>1.0126357897083293</v>
      </c>
      <c r="R108" s="6">
        <f t="shared" si="10"/>
        <v>1.7035450091274065E-2</v>
      </c>
    </row>
    <row r="109" spans="1:18" x14ac:dyDescent="0.55000000000000004">
      <c r="A109" s="2">
        <v>44501</v>
      </c>
      <c r="B109">
        <v>42.499002914755408</v>
      </c>
      <c r="C109">
        <v>0.11180555555555556</v>
      </c>
      <c r="D109">
        <v>8.9293640784869441E-2</v>
      </c>
      <c r="E109" s="1">
        <f t="shared" si="7"/>
        <v>42.700102111095831</v>
      </c>
      <c r="F109">
        <v>5.04</v>
      </c>
      <c r="G109">
        <f t="shared" si="11"/>
        <v>37.660102111095831</v>
      </c>
      <c r="H109">
        <v>4.6061428571428573E-2</v>
      </c>
      <c r="I109" s="3">
        <v>0</v>
      </c>
      <c r="J109">
        <v>0</v>
      </c>
      <c r="K109">
        <v>0</v>
      </c>
      <c r="L109">
        <f t="shared" si="8"/>
        <v>4.6061428571428573E-2</v>
      </c>
      <c r="M109">
        <f t="shared" si="9"/>
        <v>37.614040682524404</v>
      </c>
      <c r="N109">
        <v>0.22135021219135803</v>
      </c>
      <c r="O109">
        <f>+M109+N109</f>
        <v>37.835390894715765</v>
      </c>
      <c r="P109" s="5">
        <f>+(G109-L109)/ABS(G109)</f>
        <v>0.99877691705573324</v>
      </c>
      <c r="Q109" s="5">
        <f>+(G109+N109-L109)/ABS(G109)</f>
        <v>1.0046544957074954</v>
      </c>
      <c r="R109" s="6">
        <f t="shared" si="10"/>
        <v>5.8847762211891568E-3</v>
      </c>
    </row>
    <row r="110" spans="1:18" x14ac:dyDescent="0.55000000000000004">
      <c r="A110" s="2">
        <v>44531</v>
      </c>
      <c r="B110">
        <v>41.923119174466279</v>
      </c>
      <c r="C110">
        <v>0.11180555555555556</v>
      </c>
      <c r="D110">
        <v>0.11361228237155818</v>
      </c>
      <c r="E110" s="1">
        <f t="shared" si="7"/>
        <v>42.14853701239339</v>
      </c>
      <c r="F110">
        <v>5.04</v>
      </c>
      <c r="G110">
        <f t="shared" si="11"/>
        <v>37.108537012393391</v>
      </c>
      <c r="H110">
        <v>4.6061428571428573E-2</v>
      </c>
      <c r="I110" s="3">
        <v>0</v>
      </c>
      <c r="J110">
        <v>1.805932596969741E-2</v>
      </c>
      <c r="K110">
        <v>0</v>
      </c>
      <c r="L110">
        <f t="shared" si="8"/>
        <v>6.4120754541125979E-2</v>
      </c>
      <c r="M110">
        <f t="shared" si="9"/>
        <v>37.044416257852269</v>
      </c>
      <c r="N110">
        <v>0.21608721624850658</v>
      </c>
      <c r="O110">
        <f>+M110+N110</f>
        <v>37.260503474100773</v>
      </c>
      <c r="P110" s="5">
        <f>+(G110-L110)/ABS(G110)</f>
        <v>0.99827207538470963</v>
      </c>
      <c r="Q110" s="5">
        <f>+(G110+N110-L110)/ABS(G110)</f>
        <v>1.0040951887070251</v>
      </c>
      <c r="R110" s="6">
        <f t="shared" si="10"/>
        <v>5.8331926394629011E-3</v>
      </c>
    </row>
    <row r="111" spans="1:18" x14ac:dyDescent="0.55000000000000004">
      <c r="A111" s="2">
        <v>44562</v>
      </c>
      <c r="B111">
        <v>15.443776606859368</v>
      </c>
      <c r="C111">
        <v>0.11180555555555556</v>
      </c>
      <c r="D111">
        <v>4.9799504783393608E-2</v>
      </c>
      <c r="E111" s="1">
        <f t="shared" si="7"/>
        <v>15.605381667198317</v>
      </c>
      <c r="F111">
        <v>5.04</v>
      </c>
      <c r="G111">
        <f t="shared" si="11"/>
        <v>10.565381667198317</v>
      </c>
      <c r="H111">
        <v>4.6061428571428573E-2</v>
      </c>
      <c r="I111" s="3">
        <v>0</v>
      </c>
      <c r="J111">
        <v>2.0693740310422693E-2</v>
      </c>
      <c r="K111">
        <v>0</v>
      </c>
      <c r="L111">
        <f t="shared" si="8"/>
        <v>6.6755168881851262E-2</v>
      </c>
      <c r="M111">
        <f t="shared" si="9"/>
        <v>10.498626498316465</v>
      </c>
      <c r="N111">
        <v>0.19980072057945042</v>
      </c>
      <c r="O111">
        <f>+M111+N111</f>
        <v>10.698427218895915</v>
      </c>
      <c r="P111" s="5">
        <f>+(G111-L111)/ABS(G111)</f>
        <v>0.99368170777122966</v>
      </c>
      <c r="Q111" s="5">
        <f>+(G111+N111-L111)/ABS(G111)</f>
        <v>1.0125925930447601</v>
      </c>
      <c r="R111" s="6">
        <f t="shared" si="10"/>
        <v>1.9031129511225965E-2</v>
      </c>
    </row>
    <row r="112" spans="1:18" x14ac:dyDescent="0.55000000000000004">
      <c r="A112" s="2">
        <v>44593</v>
      </c>
      <c r="B112">
        <v>10.977370702712994</v>
      </c>
      <c r="C112">
        <v>0.11180555555555556</v>
      </c>
      <c r="D112">
        <v>0.14903526026149791</v>
      </c>
      <c r="E112" s="1">
        <f t="shared" si="7"/>
        <v>11.238211518530047</v>
      </c>
      <c r="F112">
        <v>5.81</v>
      </c>
      <c r="G112">
        <f t="shared" si="11"/>
        <v>5.4282115185300475</v>
      </c>
      <c r="H112">
        <v>4.6061428571428573E-2</v>
      </c>
      <c r="I112" s="3">
        <v>0</v>
      </c>
      <c r="J112">
        <v>0</v>
      </c>
      <c r="K112">
        <v>0</v>
      </c>
      <c r="L112">
        <f t="shared" si="8"/>
        <v>4.6061428571428573E-2</v>
      </c>
      <c r="M112">
        <f t="shared" si="9"/>
        <v>5.3821500899586185</v>
      </c>
      <c r="N112">
        <v>0.18679646164021163</v>
      </c>
      <c r="O112">
        <f>+M112+N112</f>
        <v>5.5689465515988301</v>
      </c>
      <c r="P112" s="5">
        <f>+(G112-L112)/ABS(G112)</f>
        <v>0.99151443741383494</v>
      </c>
      <c r="Q112" s="5">
        <f>+(G112+N112-L112)/ABS(G112)</f>
        <v>1.0259265934255439</v>
      </c>
      <c r="R112" s="6">
        <f t="shared" si="10"/>
        <v>3.470666156053779E-2</v>
      </c>
    </row>
    <row r="113" spans="1:18" x14ac:dyDescent="0.55000000000000004">
      <c r="A113" s="2">
        <v>44621</v>
      </c>
      <c r="B113">
        <v>23.359094967531412</v>
      </c>
      <c r="C113">
        <v>0.11180555555555556</v>
      </c>
      <c r="D113">
        <v>0</v>
      </c>
      <c r="E113" s="1">
        <f t="shared" si="7"/>
        <v>23.470900523086968</v>
      </c>
      <c r="F113">
        <v>5.81</v>
      </c>
      <c r="G113">
        <f t="shared" si="11"/>
        <v>17.660900523086969</v>
      </c>
      <c r="H113">
        <v>4.6061428571428573E-2</v>
      </c>
      <c r="I113" s="3">
        <v>0</v>
      </c>
      <c r="J113">
        <v>3.0572379427886494E-2</v>
      </c>
      <c r="K113">
        <v>0</v>
      </c>
      <c r="L113">
        <f t="shared" si="8"/>
        <v>7.6633807999315073E-2</v>
      </c>
      <c r="M113">
        <f t="shared" si="9"/>
        <v>17.584266715087654</v>
      </c>
      <c r="N113">
        <v>0.26875651041666665</v>
      </c>
      <c r="O113">
        <f>+M113+N113</f>
        <v>17.85302322550432</v>
      </c>
      <c r="P113" s="5">
        <f>+(G113-L113)/ABS(G113)</f>
        <v>0.99566082103802489</v>
      </c>
      <c r="Q113" s="5">
        <f>+(G113+N113-L113)/ABS(G113)</f>
        <v>1.0108784205067121</v>
      </c>
      <c r="R113" s="6">
        <f t="shared" si="10"/>
        <v>1.528391912902838E-2</v>
      </c>
    </row>
    <row r="114" spans="1:18" x14ac:dyDescent="0.55000000000000004">
      <c r="A114" s="2">
        <v>44652</v>
      </c>
      <c r="B114">
        <v>22.105547397751813</v>
      </c>
      <c r="C114">
        <v>0.11180555555555556</v>
      </c>
      <c r="D114">
        <v>0</v>
      </c>
      <c r="E114" s="1">
        <f t="shared" si="7"/>
        <v>22.217352953307369</v>
      </c>
      <c r="F114">
        <v>5.04</v>
      </c>
      <c r="G114">
        <f t="shared" si="11"/>
        <v>17.17735295330737</v>
      </c>
      <c r="H114">
        <v>4.6061428571428573E-2</v>
      </c>
      <c r="I114" s="3">
        <v>0</v>
      </c>
      <c r="J114">
        <v>3.1294897374953889E-2</v>
      </c>
      <c r="K114">
        <v>5.9193287037037037E-2</v>
      </c>
      <c r="L114">
        <f t="shared" si="8"/>
        <v>0.1365496129834195</v>
      </c>
      <c r="M114">
        <f t="shared" si="9"/>
        <v>17.040803340323951</v>
      </c>
      <c r="N114">
        <v>0.23129236593364197</v>
      </c>
      <c r="O114">
        <f>+M114+N114</f>
        <v>17.272095706257591</v>
      </c>
      <c r="P114" s="5">
        <f>+(G114-L114)/ABS(G114)</f>
        <v>0.99205060212975782</v>
      </c>
      <c r="Q114" s="5">
        <f>+(G114+N114-L114)/ABS(G114)</f>
        <v>1.005515561868453</v>
      </c>
      <c r="R114" s="6">
        <f t="shared" si="10"/>
        <v>1.357285576944192E-2</v>
      </c>
    </row>
    <row r="115" spans="1:18" x14ac:dyDescent="0.55000000000000004">
      <c r="A115" s="2">
        <v>44682</v>
      </c>
      <c r="B115">
        <v>20.915039740889821</v>
      </c>
      <c r="C115">
        <v>0.11180555555555556</v>
      </c>
      <c r="D115">
        <v>0</v>
      </c>
      <c r="E115" s="1">
        <f t="shared" si="7"/>
        <v>21.026845296445376</v>
      </c>
      <c r="F115">
        <v>5.04</v>
      </c>
      <c r="G115">
        <f t="shared" si="11"/>
        <v>15.986845296445377</v>
      </c>
      <c r="H115">
        <v>4.6061428571428573E-2</v>
      </c>
      <c r="I115" s="3">
        <v>0</v>
      </c>
      <c r="J115">
        <v>4.3081211339752762E-2</v>
      </c>
      <c r="K115">
        <v>5.7283826164874554E-2</v>
      </c>
      <c r="L115">
        <f t="shared" si="8"/>
        <v>0.14642646607605589</v>
      </c>
      <c r="M115">
        <f t="shared" si="9"/>
        <v>15.84041883036932</v>
      </c>
      <c r="N115">
        <v>0.26987289519862606</v>
      </c>
      <c r="O115">
        <f>+M115+N115</f>
        <v>16.110291725567947</v>
      </c>
      <c r="P115" s="5">
        <f>+(G115-L115)/ABS(G115)</f>
        <v>0.99084081547291802</v>
      </c>
      <c r="Q115" s="5">
        <f>+(G115+N115-L115)/ABS(G115)</f>
        <v>1.0077217504037537</v>
      </c>
      <c r="R115" s="6">
        <f t="shared" si="10"/>
        <v>1.7036979772354806E-2</v>
      </c>
    </row>
    <row r="116" spans="1:18" x14ac:dyDescent="0.55000000000000004">
      <c r="A116" s="2">
        <v>44713</v>
      </c>
      <c r="B116">
        <v>16.91924992757998</v>
      </c>
      <c r="C116">
        <v>0.11180555555555556</v>
      </c>
      <c r="D116">
        <v>0</v>
      </c>
      <c r="E116" s="1">
        <f t="shared" si="7"/>
        <v>17.031055483135535</v>
      </c>
      <c r="F116">
        <v>5.04</v>
      </c>
      <c r="G116">
        <f t="shared" si="11"/>
        <v>11.991055483135536</v>
      </c>
      <c r="H116">
        <v>4.6061428571428573E-2</v>
      </c>
      <c r="I116" s="3">
        <v>0</v>
      </c>
      <c r="J116">
        <v>4.1664861042581748E-2</v>
      </c>
      <c r="K116">
        <v>5.9193287037037037E-2</v>
      </c>
      <c r="L116">
        <f t="shared" si="8"/>
        <v>0.14691957665104738</v>
      </c>
      <c r="M116">
        <f t="shared" si="9"/>
        <v>11.844135906484489</v>
      </c>
      <c r="N116">
        <v>0.14493035059799383</v>
      </c>
      <c r="O116">
        <f>+M116+N116</f>
        <v>11.989066257082483</v>
      </c>
      <c r="P116" s="5">
        <f>+(G116-L116)/ABS(G116)</f>
        <v>0.98774756927297369</v>
      </c>
      <c r="Q116" s="5">
        <f>+(G116+N116-L116)/ABS(G116)</f>
        <v>0.99983410750989754</v>
      </c>
      <c r="R116" s="6">
        <f t="shared" si="10"/>
        <v>1.2236464672669436E-2</v>
      </c>
    </row>
    <row r="117" spans="1:18" x14ac:dyDescent="0.55000000000000004">
      <c r="A117" s="2">
        <v>44743</v>
      </c>
      <c r="B117">
        <v>8.7089996753307908</v>
      </c>
      <c r="C117">
        <v>0.11180555555555556</v>
      </c>
      <c r="D117">
        <v>0</v>
      </c>
      <c r="E117" s="1">
        <f t="shared" si="7"/>
        <v>8.8208052308863465</v>
      </c>
      <c r="F117">
        <v>3.87</v>
      </c>
      <c r="G117">
        <f t="shared" si="11"/>
        <v>4.9508052308863464</v>
      </c>
      <c r="H117">
        <v>4.6061428571428573E-2</v>
      </c>
      <c r="I117" s="3">
        <v>0</v>
      </c>
      <c r="J117">
        <v>3.4809968641514262E-2</v>
      </c>
      <c r="K117">
        <v>5.7283826164874554E-2</v>
      </c>
      <c r="L117">
        <f t="shared" si="8"/>
        <v>0.13815522337781738</v>
      </c>
      <c r="M117">
        <f t="shared" si="9"/>
        <v>4.8126500075085286</v>
      </c>
      <c r="N117">
        <v>0.15779264206242533</v>
      </c>
      <c r="O117">
        <f>+M117+N117</f>
        <v>4.9704426495709537</v>
      </c>
      <c r="P117" s="5">
        <f>+(G117-L117)/ABS(G117)</f>
        <v>0.972094393349204</v>
      </c>
      <c r="Q117" s="5">
        <f>+(G117+N117-L117)/ABS(G117)</f>
        <v>1.0039665100461024</v>
      </c>
      <c r="R117" s="6">
        <f t="shared" si="10"/>
        <v>3.278705948204045E-2</v>
      </c>
    </row>
    <row r="118" spans="1:18" x14ac:dyDescent="0.55000000000000004">
      <c r="A118" s="2">
        <v>44774</v>
      </c>
      <c r="B118">
        <v>7.1077336925072219</v>
      </c>
      <c r="C118">
        <v>0.11180555555555556</v>
      </c>
      <c r="D118">
        <v>0</v>
      </c>
      <c r="E118" s="1">
        <f t="shared" si="7"/>
        <v>7.2195392480627776</v>
      </c>
      <c r="F118">
        <v>3.87</v>
      </c>
      <c r="G118">
        <f t="shared" si="11"/>
        <v>3.3495392480627775</v>
      </c>
      <c r="H118">
        <v>4.6061428571428573E-2</v>
      </c>
      <c r="I118" s="3">
        <v>0</v>
      </c>
      <c r="J118">
        <v>3.9345411228742119E-2</v>
      </c>
      <c r="K118">
        <v>5.7283826164874554E-2</v>
      </c>
      <c r="L118">
        <f t="shared" si="8"/>
        <v>0.14269066596504526</v>
      </c>
      <c r="M118">
        <f t="shared" si="9"/>
        <v>3.2068485820977322</v>
      </c>
      <c r="N118">
        <v>0.16051667973416966</v>
      </c>
      <c r="O118">
        <f>+M118+N118</f>
        <v>3.3673652618319019</v>
      </c>
      <c r="P118" s="5">
        <f>+(G118-L118)/ABS(G118)</f>
        <v>0.95739991222745902</v>
      </c>
      <c r="Q118" s="5">
        <f>+(G118+N118-L118)/ABS(G118)</f>
        <v>1.0053219301070839</v>
      </c>
      <c r="R118" s="6">
        <f t="shared" si="10"/>
        <v>5.0054337030521479E-2</v>
      </c>
    </row>
    <row r="119" spans="1:18" x14ac:dyDescent="0.55000000000000004">
      <c r="A119" s="2">
        <v>44805</v>
      </c>
      <c r="B119">
        <v>6.1656970746983548</v>
      </c>
      <c r="C119">
        <v>0.11180555555555556</v>
      </c>
      <c r="D119">
        <v>0</v>
      </c>
      <c r="E119" s="1">
        <f t="shared" si="7"/>
        <v>6.2775026302539105</v>
      </c>
      <c r="F119">
        <v>3.87</v>
      </c>
      <c r="G119">
        <f t="shared" si="11"/>
        <v>2.4075026302539104</v>
      </c>
      <c r="H119">
        <v>4.6061428571428573E-2</v>
      </c>
      <c r="I119" s="3">
        <v>0</v>
      </c>
      <c r="J119">
        <v>2.7323902847510857E-2</v>
      </c>
      <c r="K119">
        <v>5.9193287037037037E-2</v>
      </c>
      <c r="L119">
        <f t="shared" si="8"/>
        <v>0.13257861845597646</v>
      </c>
      <c r="M119">
        <f t="shared" si="9"/>
        <v>2.2749240117979341</v>
      </c>
      <c r="N119">
        <v>0.17403959297839505</v>
      </c>
      <c r="O119">
        <f>+M119+N119</f>
        <v>2.448963604776329</v>
      </c>
      <c r="P119" s="5">
        <f>+(G119-L119)/ABS(G119)</f>
        <v>0.94493105976711078</v>
      </c>
      <c r="Q119" s="5">
        <f>+(G119+N119-L119)/ABS(G119)</f>
        <v>1.0172215697716791</v>
      </c>
      <c r="R119" s="6">
        <f t="shared" si="10"/>
        <v>7.6503475314257482E-2</v>
      </c>
    </row>
    <row r="120" spans="1:18" x14ac:dyDescent="0.55000000000000004">
      <c r="A120" s="2">
        <v>44835</v>
      </c>
      <c r="B120">
        <v>6.5190866103162559</v>
      </c>
      <c r="C120">
        <v>0.11180555555555556</v>
      </c>
      <c r="D120">
        <v>0</v>
      </c>
      <c r="E120" s="1">
        <f t="shared" si="7"/>
        <v>6.6308921658718116</v>
      </c>
      <c r="F120">
        <v>3.87</v>
      </c>
      <c r="G120">
        <f t="shared" si="11"/>
        <v>2.7608921658718115</v>
      </c>
      <c r="H120">
        <v>4.6061428571428573E-2</v>
      </c>
      <c r="I120" s="3">
        <v>0</v>
      </c>
      <c r="J120">
        <v>4.4557456046695004E-2</v>
      </c>
      <c r="K120">
        <v>0</v>
      </c>
      <c r="L120">
        <f t="shared" si="8"/>
        <v>9.0618884618123577E-2</v>
      </c>
      <c r="M120">
        <f t="shared" si="9"/>
        <v>2.6702732812536882</v>
      </c>
      <c r="N120">
        <v>0.19547018509184588</v>
      </c>
      <c r="O120">
        <f>+M120+N120</f>
        <v>2.8657434663455339</v>
      </c>
      <c r="P120" s="5">
        <f>+(G120-L120)/ABS(G120)</f>
        <v>0.96717768055620212</v>
      </c>
      <c r="Q120" s="5">
        <f>+(G120+N120-L120)/ABS(G120)</f>
        <v>1.0379773255072471</v>
      </c>
      <c r="R120" s="6">
        <f t="shared" si="10"/>
        <v>7.3202314708430485E-2</v>
      </c>
    </row>
    <row r="121" spans="1:18" x14ac:dyDescent="0.55000000000000004">
      <c r="A121" s="2">
        <v>44866</v>
      </c>
      <c r="B121">
        <v>4.5371981945216593</v>
      </c>
      <c r="C121">
        <v>0.11180555555555556</v>
      </c>
      <c r="D121">
        <v>0</v>
      </c>
      <c r="E121" s="1">
        <f t="shared" si="7"/>
        <v>4.649003750077215</v>
      </c>
      <c r="F121">
        <v>5.04</v>
      </c>
      <c r="G121">
        <f t="shared" si="11"/>
        <v>-0.39099624992278503</v>
      </c>
      <c r="H121">
        <v>4.6061428571428573E-2</v>
      </c>
      <c r="I121" s="3">
        <v>0</v>
      </c>
      <c r="J121">
        <v>3.236896586400926E-3</v>
      </c>
      <c r="K121">
        <v>0</v>
      </c>
      <c r="L121">
        <f t="shared" si="8"/>
        <v>4.9298325157829496E-2</v>
      </c>
      <c r="M121">
        <f t="shared" si="9"/>
        <v>-0.44029457508061454</v>
      </c>
      <c r="N121">
        <v>0.13410018807870369</v>
      </c>
      <c r="O121">
        <f>+M121+N121</f>
        <v>-0.30619438700191082</v>
      </c>
      <c r="P121" s="5">
        <f>+(G121-L121)/ABS(G121)</f>
        <v>-1.1260838823072219</v>
      </c>
      <c r="Q121" s="5">
        <f>+(G121+N121-L121)/ABS(G121)</f>
        <v>-0.78311335994240072</v>
      </c>
      <c r="R121" s="6">
        <f t="shared" si="10"/>
        <v>0.30456924901732219</v>
      </c>
    </row>
    <row r="122" spans="1:18" x14ac:dyDescent="0.55000000000000004">
      <c r="A122" s="2">
        <v>44896</v>
      </c>
      <c r="B122">
        <v>3.6284354290507035</v>
      </c>
      <c r="C122">
        <v>0.11180555555555556</v>
      </c>
      <c r="D122">
        <v>0</v>
      </c>
      <c r="E122" s="1">
        <f t="shared" si="7"/>
        <v>3.7402409846062592</v>
      </c>
      <c r="F122">
        <v>5.04</v>
      </c>
      <c r="G122">
        <f t="shared" si="11"/>
        <v>-1.2997590153937408</v>
      </c>
      <c r="H122">
        <v>4.6061428571428573E-2</v>
      </c>
      <c r="I122" s="3">
        <v>0</v>
      </c>
      <c r="J122">
        <v>1.6436067342295614E-2</v>
      </c>
      <c r="K122">
        <v>0</v>
      </c>
      <c r="L122">
        <f t="shared" si="8"/>
        <v>6.2497495913724187E-2</v>
      </c>
      <c r="M122">
        <f t="shared" si="9"/>
        <v>-1.3622565113074649</v>
      </c>
      <c r="N122">
        <v>0.17733810297192354</v>
      </c>
      <c r="O122">
        <f>+M122+N122</f>
        <v>-1.1849184083355415</v>
      </c>
      <c r="P122" s="5">
        <f>+(G122-L122)/ABS(G122)</f>
        <v>-1.0480839103045509</v>
      </c>
      <c r="Q122" s="5">
        <f>+(G122+N122-L122)/ABS(G122)</f>
        <v>-0.91164469282530003</v>
      </c>
      <c r="R122" s="6">
        <f t="shared" si="10"/>
        <v>0.13017966990792232</v>
      </c>
    </row>
    <row r="123" spans="1:18" x14ac:dyDescent="0.55000000000000004">
      <c r="A123" s="2">
        <v>44927</v>
      </c>
      <c r="B123">
        <v>11.097255611380085</v>
      </c>
      <c r="C123">
        <v>0.11180555555555556</v>
      </c>
      <c r="D123">
        <v>0.11931779891846385</v>
      </c>
      <c r="E123" s="1">
        <f t="shared" si="7"/>
        <v>11.328378965854105</v>
      </c>
      <c r="F123">
        <v>5.04</v>
      </c>
      <c r="G123">
        <f t="shared" si="11"/>
        <v>6.2883789658541049</v>
      </c>
      <c r="H123">
        <v>4.6061428571428573E-2</v>
      </c>
      <c r="I123" s="3">
        <v>0</v>
      </c>
      <c r="K123">
        <v>0</v>
      </c>
      <c r="L123">
        <f t="shared" si="8"/>
        <v>4.6061428571428573E-2</v>
      </c>
      <c r="M123">
        <f t="shared" si="9"/>
        <v>6.242317537282676</v>
      </c>
      <c r="N123">
        <v>0.16942089960424134</v>
      </c>
      <c r="O123">
        <f>+M123+N123</f>
        <v>6.4117384368869175</v>
      </c>
      <c r="P123" s="5">
        <f>+(G123-L123)/ABS(G123)</f>
        <v>0.99267515065145684</v>
      </c>
      <c r="Q123" s="5">
        <f>+(G123+N123-L123)/ABS(G123)</f>
        <v>1.0196170542046932</v>
      </c>
      <c r="R123" s="6">
        <f t="shared" si="10"/>
        <v>2.7140705129523327E-2</v>
      </c>
    </row>
    <row r="124" spans="1:18" x14ac:dyDescent="0.55000000000000004">
      <c r="A124" s="2">
        <v>44958</v>
      </c>
      <c r="B124">
        <v>10.59450998209301</v>
      </c>
      <c r="C124">
        <v>0.11180555555555556</v>
      </c>
      <c r="D124">
        <v>0.14363904826958102</v>
      </c>
      <c r="E124" s="1">
        <f t="shared" si="7"/>
        <v>10.849954585918146</v>
      </c>
      <c r="F124">
        <v>5.81</v>
      </c>
      <c r="G124">
        <f t="shared" si="11"/>
        <v>5.0399545859181467</v>
      </c>
      <c r="H124">
        <v>4.6061428571428573E-2</v>
      </c>
      <c r="I124" s="3">
        <v>0</v>
      </c>
      <c r="K124">
        <v>0</v>
      </c>
      <c r="L124">
        <f t="shared" si="8"/>
        <v>4.6061428571428573E-2</v>
      </c>
      <c r="M124">
        <f t="shared" si="9"/>
        <v>4.9938931573467178</v>
      </c>
      <c r="N124">
        <v>0.16488751446759259</v>
      </c>
      <c r="O124">
        <f>+M124+N124</f>
        <v>5.1587806718143101</v>
      </c>
      <c r="P124" s="5">
        <f>+(G124-L124)/ABS(G124)</f>
        <v>0.99086074531303781</v>
      </c>
      <c r="Q124" s="5">
        <f>+(G124+N124-L124)/ABS(G124)</f>
        <v>1.0235768167888195</v>
      </c>
      <c r="R124" s="6">
        <f t="shared" si="10"/>
        <v>3.3017829831825538E-2</v>
      </c>
    </row>
    <row r="125" spans="1:18" x14ac:dyDescent="0.55000000000000004">
      <c r="A125" s="2">
        <v>44986</v>
      </c>
      <c r="B125">
        <v>21.690151401387453</v>
      </c>
      <c r="C125">
        <v>0.11180555555555556</v>
      </c>
      <c r="D125">
        <v>8.7520958561020046E-2</v>
      </c>
      <c r="E125" s="1">
        <f t="shared" si="7"/>
        <v>21.889477915504028</v>
      </c>
      <c r="F125">
        <v>5.81</v>
      </c>
      <c r="G125">
        <f t="shared" si="11"/>
        <v>16.079477915504029</v>
      </c>
      <c r="H125">
        <v>4.6061428571428573E-2</v>
      </c>
      <c r="I125" s="3">
        <v>0</v>
      </c>
      <c r="K125">
        <v>0</v>
      </c>
      <c r="L125">
        <f t="shared" si="8"/>
        <v>4.6061428571428573E-2</v>
      </c>
      <c r="M125">
        <f t="shared" si="9"/>
        <v>16.033416486932602</v>
      </c>
      <c r="N125">
        <v>0.20410081578554362</v>
      </c>
      <c r="O125">
        <f>+M125+N125</f>
        <v>16.237517302718146</v>
      </c>
      <c r="P125" s="5">
        <f>+(G125-L125)/ABS(G125)</f>
        <v>0.9971353902898169</v>
      </c>
      <c r="Q125" s="5">
        <f>+(G125+N125-L125)/ABS(G125)</f>
        <v>1.0098286392160614</v>
      </c>
      <c r="R125" s="6">
        <f t="shared" si="10"/>
        <v>1.27297145902676E-2</v>
      </c>
    </row>
    <row r="126" spans="1:18" x14ac:dyDescent="0.55000000000000004">
      <c r="A126" s="2">
        <v>45017</v>
      </c>
      <c r="B126">
        <v>26.147093836465501</v>
      </c>
      <c r="C126">
        <v>0.11180555555555556</v>
      </c>
      <c r="D126">
        <v>0</v>
      </c>
      <c r="E126" s="1">
        <f t="shared" si="7"/>
        <v>26.258899392021057</v>
      </c>
      <c r="F126">
        <v>5.04</v>
      </c>
      <c r="G126">
        <f t="shared" si="11"/>
        <v>21.218899392021058</v>
      </c>
      <c r="H126">
        <v>4.6061428571428573E-2</v>
      </c>
      <c r="I126" s="3">
        <v>0</v>
      </c>
      <c r="K126">
        <v>5.9193287037037037E-2</v>
      </c>
      <c r="L126">
        <f t="shared" si="8"/>
        <v>0.10525471560846561</v>
      </c>
      <c r="M126">
        <f t="shared" si="9"/>
        <v>21.113644676412594</v>
      </c>
      <c r="N126">
        <v>0.19918266541280863</v>
      </c>
      <c r="O126">
        <f>+M126+N126</f>
        <v>21.312827341825404</v>
      </c>
      <c r="P126" s="5">
        <f>+(G126-L126)/ABS(G126)</f>
        <v>0.99503957704573287</v>
      </c>
      <c r="Q126" s="5">
        <f>+(G126+N126-L126)/ABS(G126)</f>
        <v>1.0044266174257681</v>
      </c>
      <c r="R126" s="6">
        <f t="shared" si="10"/>
        <v>9.4338361976568919E-3</v>
      </c>
    </row>
    <row r="127" spans="1:18" x14ac:dyDescent="0.55000000000000004">
      <c r="A127" s="2">
        <v>45047</v>
      </c>
      <c r="B127">
        <v>51.482005667459795</v>
      </c>
      <c r="C127">
        <v>0.11180555555555556</v>
      </c>
      <c r="D127">
        <v>0.16828685639436519</v>
      </c>
      <c r="E127" s="1">
        <f t="shared" si="7"/>
        <v>51.762098079409718</v>
      </c>
      <c r="F127">
        <v>5.04</v>
      </c>
      <c r="G127">
        <f t="shared" si="11"/>
        <v>46.722098079409719</v>
      </c>
      <c r="H127">
        <v>4.6061428571428573E-2</v>
      </c>
      <c r="I127" s="3">
        <v>0</v>
      </c>
      <c r="K127">
        <v>5.7283826164874554E-2</v>
      </c>
      <c r="L127">
        <f t="shared" si="8"/>
        <v>0.10334525473630313</v>
      </c>
      <c r="M127">
        <f t="shared" si="9"/>
        <v>46.618752824673415</v>
      </c>
      <c r="N127">
        <v>0.21623431899641576</v>
      </c>
      <c r="O127">
        <f>+M127+N127</f>
        <v>46.834987143669828</v>
      </c>
      <c r="P127" s="5">
        <f>+(G127-L127)/ABS(G127)</f>
        <v>0.99778808617368475</v>
      </c>
      <c r="Q127" s="5">
        <f>+(G127+N127-L127)/ABS(G127)</f>
        <v>1.0024161813981094</v>
      </c>
      <c r="R127" s="6">
        <f t="shared" si="10"/>
        <v>4.638354865683406E-3</v>
      </c>
    </row>
    <row r="128" spans="1:18" x14ac:dyDescent="0.55000000000000004">
      <c r="A128" s="2">
        <v>45078</v>
      </c>
      <c r="B128">
        <v>34.780226381634215</v>
      </c>
      <c r="C128">
        <v>0.11180555555555556</v>
      </c>
      <c r="D128">
        <v>0</v>
      </c>
      <c r="E128" s="1">
        <f t="shared" si="7"/>
        <v>34.89203193718977</v>
      </c>
      <c r="F128">
        <v>5.04</v>
      </c>
      <c r="G128">
        <f t="shared" si="11"/>
        <v>29.852031937189771</v>
      </c>
      <c r="H128">
        <v>4.6061428571428573E-2</v>
      </c>
      <c r="I128" s="3">
        <v>0</v>
      </c>
      <c r="K128">
        <v>5.9193287037037037E-2</v>
      </c>
      <c r="L128">
        <f t="shared" si="8"/>
        <v>0.10525471560846561</v>
      </c>
      <c r="M128">
        <f t="shared" si="9"/>
        <v>29.746777221581308</v>
      </c>
      <c r="N128">
        <v>0.14414204764660493</v>
      </c>
      <c r="O128">
        <f>+M128+N128</f>
        <v>29.890919269227911</v>
      </c>
      <c r="P128" s="5">
        <f>+(G128-L128)/ABS(G128)</f>
        <v>0.99647411888644877</v>
      </c>
      <c r="Q128" s="5">
        <f>+(G128+N128-L128)/ABS(G128)</f>
        <v>1.0013026695174372</v>
      </c>
      <c r="R128" s="6">
        <f t="shared" si="10"/>
        <v>4.845635766621093E-3</v>
      </c>
    </row>
    <row r="129" spans="1:18" x14ac:dyDescent="0.55000000000000004">
      <c r="A129" s="2">
        <v>45108</v>
      </c>
      <c r="B129">
        <v>12.461724839174003</v>
      </c>
      <c r="C129">
        <v>0.11180555555555556</v>
      </c>
      <c r="D129">
        <v>0</v>
      </c>
      <c r="E129" s="1">
        <f t="shared" si="7"/>
        <v>12.573530394729559</v>
      </c>
      <c r="F129">
        <v>3.87</v>
      </c>
      <c r="G129">
        <f t="shared" si="11"/>
        <v>8.7035303947295581</v>
      </c>
      <c r="H129">
        <v>4.6061428571428573E-2</v>
      </c>
      <c r="I129" s="3">
        <v>0</v>
      </c>
      <c r="K129">
        <v>5.7283826164874554E-2</v>
      </c>
      <c r="L129">
        <f t="shared" si="8"/>
        <v>0.10334525473630313</v>
      </c>
      <c r="M129">
        <f t="shared" si="9"/>
        <v>8.6001851399932541</v>
      </c>
      <c r="N129">
        <v>0.1339945723192951</v>
      </c>
      <c r="O129">
        <f>+M129+N129</f>
        <v>8.7341797123125495</v>
      </c>
      <c r="P129" s="5">
        <f>+(G129-L129)/ABS(G129)</f>
        <v>0.98812605344621041</v>
      </c>
      <c r="Q129" s="5">
        <f>+(G129+N129-L129)/ABS(G129)</f>
        <v>1.0035214810764093</v>
      </c>
      <c r="R129" s="6">
        <f t="shared" si="10"/>
        <v>1.5580428809163991E-2</v>
      </c>
    </row>
    <row r="130" spans="1:18" x14ac:dyDescent="0.55000000000000004">
      <c r="A130" s="2">
        <v>45139</v>
      </c>
      <c r="B130">
        <v>11.099288653188252</v>
      </c>
      <c r="C130">
        <v>0.11180555555555556</v>
      </c>
      <c r="D130">
        <v>0</v>
      </c>
      <c r="E130" s="1">
        <f t="shared" si="7"/>
        <v>11.211094208743807</v>
      </c>
      <c r="F130">
        <v>3.87</v>
      </c>
      <c r="G130">
        <f t="shared" si="11"/>
        <v>7.3410942087438071</v>
      </c>
      <c r="H130">
        <v>4.6061428571428573E-2</v>
      </c>
      <c r="I130" s="3">
        <v>0</v>
      </c>
      <c r="K130">
        <v>5.7283826164874554E-2</v>
      </c>
      <c r="L130">
        <f t="shared" si="8"/>
        <v>0.10334525473630313</v>
      </c>
      <c r="M130">
        <f t="shared" si="9"/>
        <v>7.237748954007504</v>
      </c>
      <c r="N130">
        <v>0.10108109085648148</v>
      </c>
      <c r="O130">
        <f>+M130+N130</f>
        <v>7.3388300448639852</v>
      </c>
      <c r="P130" s="5">
        <f>+(G130-L130)/ABS(G130)</f>
        <v>0.98592236364257368</v>
      </c>
      <c r="Q130" s="5">
        <f>+(G130+N130-L130)/ABS(G130)</f>
        <v>0.99969157678468079</v>
      </c>
      <c r="R130" s="6">
        <f t="shared" si="10"/>
        <v>1.3965818861472603E-2</v>
      </c>
    </row>
    <row r="131" spans="1:18" x14ac:dyDescent="0.55000000000000004">
      <c r="A131" s="2">
        <v>45170</v>
      </c>
      <c r="B131">
        <v>9.3362452743540469</v>
      </c>
      <c r="C131">
        <v>0.11180555555555556</v>
      </c>
      <c r="D131">
        <v>0</v>
      </c>
      <c r="E131" s="1">
        <f t="shared" si="7"/>
        <v>9.4480508299096027</v>
      </c>
      <c r="F131">
        <v>3.87</v>
      </c>
      <c r="G131">
        <f t="shared" ref="G131:G162" si="12">E131-F131</f>
        <v>5.5780508299096025</v>
      </c>
      <c r="H131">
        <v>4.6061428571428573E-2</v>
      </c>
      <c r="I131" s="3">
        <v>0</v>
      </c>
      <c r="K131">
        <v>5.9193287037037037E-2</v>
      </c>
      <c r="L131">
        <f t="shared" si="8"/>
        <v>0.10525471560846561</v>
      </c>
      <c r="M131">
        <f t="shared" si="9"/>
        <v>5.4727961143011363</v>
      </c>
      <c r="N131">
        <v>0.14826941068672839</v>
      </c>
      <c r="O131">
        <f>+M131+N131</f>
        <v>5.6210655249878645</v>
      </c>
      <c r="P131" s="5">
        <f>+(G131-L131)/ABS(G131)</f>
        <v>0.9811305563864553</v>
      </c>
      <c r="Q131" s="5">
        <f>+(G131+N131-L131)/ABS(G131)</f>
        <v>1.0077114204208426</v>
      </c>
      <c r="R131" s="6">
        <f t="shared" si="10"/>
        <v>2.7092076443206232E-2</v>
      </c>
    </row>
    <row r="132" spans="1:18" x14ac:dyDescent="0.55000000000000004">
      <c r="A132" s="2">
        <v>45200</v>
      </c>
      <c r="B132">
        <v>9.1980685064798333</v>
      </c>
      <c r="C132">
        <v>0.11180555555555556</v>
      </c>
      <c r="D132">
        <v>0</v>
      </c>
      <c r="E132" s="1">
        <f t="shared" ref="E132:E134" si="13">B132+C132+D132</f>
        <v>9.309874062035389</v>
      </c>
      <c r="F132">
        <v>3.87</v>
      </c>
      <c r="G132">
        <f t="shared" si="12"/>
        <v>5.4398740620353889</v>
      </c>
      <c r="H132">
        <v>4.6061428571428573E-2</v>
      </c>
      <c r="I132" s="3">
        <v>0</v>
      </c>
      <c r="K132">
        <v>0</v>
      </c>
      <c r="L132">
        <f t="shared" ref="L132:L134" si="14">+J132+K132+H132+I132</f>
        <v>4.6061428571428573E-2</v>
      </c>
      <c r="M132">
        <f t="shared" ref="M132:M134" si="15">+G132-H132-J132-K132</f>
        <v>5.39381263346396</v>
      </c>
      <c r="N132">
        <v>0.14402329749103943</v>
      </c>
      <c r="O132">
        <f>+M132+N132</f>
        <v>5.5378359309549996</v>
      </c>
      <c r="P132" s="5">
        <f>+(G132-L132)/ABS(G132)</f>
        <v>0.99153262960756949</v>
      </c>
      <c r="Q132" s="5">
        <f>+(G132+N132-L132)/ABS(G132)</f>
        <v>1.0180081133869039</v>
      </c>
      <c r="R132" s="6">
        <f t="shared" ref="R132:R134" si="16">+(Q132-P132)/ABS(P132)</f>
        <v>2.6701575912648393E-2</v>
      </c>
    </row>
    <row r="133" spans="1:18" x14ac:dyDescent="0.55000000000000004">
      <c r="A133" s="2">
        <v>45231</v>
      </c>
      <c r="B133">
        <v>9.4210595752403652</v>
      </c>
      <c r="C133">
        <v>0.11180555555555556</v>
      </c>
      <c r="D133">
        <v>0</v>
      </c>
      <c r="E133" s="1">
        <f t="shared" si="13"/>
        <v>9.5328651307959209</v>
      </c>
      <c r="F133">
        <v>5.04</v>
      </c>
      <c r="G133">
        <f t="shared" si="12"/>
        <v>4.4928651307959209</v>
      </c>
      <c r="H133">
        <v>4.6061428571428573E-2</v>
      </c>
      <c r="I133" s="3">
        <v>0</v>
      </c>
      <c r="K133">
        <v>0</v>
      </c>
      <c r="L133">
        <f t="shared" si="14"/>
        <v>4.6061428571428573E-2</v>
      </c>
      <c r="M133">
        <f t="shared" si="15"/>
        <v>4.4468037022244919</v>
      </c>
      <c r="N133">
        <v>0.12024903549382716</v>
      </c>
      <c r="O133">
        <f>+M133+N133</f>
        <v>4.5670527377183188</v>
      </c>
      <c r="P133" s="5">
        <f>+(G133-L133)/ABS(G133)</f>
        <v>0.9897478719635483</v>
      </c>
      <c r="Q133" s="5">
        <f>+(G133+N133-L133)/ABS(G133)</f>
        <v>1.0165123155854126</v>
      </c>
      <c r="R133" s="6">
        <f t="shared" si="16"/>
        <v>2.7041678370842679E-2</v>
      </c>
    </row>
    <row r="134" spans="1:18" x14ac:dyDescent="0.55000000000000004">
      <c r="A134" s="2">
        <v>45261</v>
      </c>
      <c r="B134">
        <v>10.909535384264247</v>
      </c>
      <c r="C134">
        <v>0.11180555555555556</v>
      </c>
      <c r="D134">
        <v>0</v>
      </c>
      <c r="E134" s="1">
        <f t="shared" si="13"/>
        <v>11.021340939819803</v>
      </c>
      <c r="F134">
        <v>5.04</v>
      </c>
      <c r="G134">
        <f t="shared" si="12"/>
        <v>5.9813409398198027</v>
      </c>
      <c r="H134">
        <v>4.6061428571428573E-2</v>
      </c>
      <c r="I134" s="3">
        <v>0</v>
      </c>
      <c r="K134">
        <v>0</v>
      </c>
      <c r="L134">
        <f t="shared" si="14"/>
        <v>4.6061428571428573E-2</v>
      </c>
      <c r="M134">
        <f t="shared" si="15"/>
        <v>5.9352795112483738</v>
      </c>
      <c r="N134">
        <v>0.11769950110140383</v>
      </c>
      <c r="O134">
        <f>+M134+N134</f>
        <v>6.0529790123497778</v>
      </c>
      <c r="P134" s="5">
        <f>+(G134-L134)/ABS(G134)</f>
        <v>0.99229914679085041</v>
      </c>
      <c r="Q134" s="5">
        <f>+(G134+N134-L134)/ABS(G134)</f>
        <v>1.0119769251160815</v>
      </c>
      <c r="R134" s="6">
        <f t="shared" si="16"/>
        <v>1.9830490017924644E-2</v>
      </c>
    </row>
  </sheetData>
  <autoFilter ref="G1:G146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NICOLO' CIUCCOLI</cp:lastModifiedBy>
  <dcterms:created xsi:type="dcterms:W3CDTF">2015-06-05T18:19:34Z</dcterms:created>
  <dcterms:modified xsi:type="dcterms:W3CDTF">2025-12-23T15:35:44Z</dcterms:modified>
</cp:coreProperties>
</file>